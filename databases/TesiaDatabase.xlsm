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573EF83-420A-44C6-B892-B8712C8D132E}" xr6:coauthVersionLast="47" xr6:coauthVersionMax="47" xr10:uidLastSave="{00000000-0000-0000-0000-000000000000}"/>
  <bookViews>
    <workbookView xWindow="-110" yWindow="-110" windowWidth="38620" windowHeight="21100" tabRatio="999" firstSheet="3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F60B039-F9CF-43BF-8074-0CC2E06EDAF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FD50F42-8439-4600-AE1B-DC4A0E0928F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09D3F4B-C226-409A-A989-FB4F59C97B8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E4D2420-5D98-4FCD-85EB-B80F07BD9C63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D9339E06-A460-47EB-99B7-747E4E1F1BF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0C741E2B-3B90-4D16-A1F0-97E22435736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58ABCAA-A261-4DF8-B622-EF322EB329CD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C7B55498-2161-4B1D-A730-E249C01A142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8A68FD3-9AE8-406A-A548-BF3B1A8872F4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1D69B148-10B3-413A-B359-B2EBA6B24135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97623221-32CE-4E08-8719-BF4667D49666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ACDA82-C522-45C9-9E73-B8AFD283D2F7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06652025-F23E-4F6E-865B-EAE8B3304A5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9B9555F6-FCF9-4331-86F6-C6043C36A6C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0C9C98C-A25A-4E04-8515-84B4410D897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32EBA7C5-7843-4B0E-81C3-8108AF9294DE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225CCEA-1AE0-4D42-B485-6ECFC970B9C8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F9F8CB32-476C-4BC6-A35E-DFD3B8C2CFF8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6059A7A0-305C-4C2A-A285-4AD83DD9251B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EC4D89FB-7265-4BCE-9323-A476BA67C07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2D117F73-4049-4E6B-972F-DF372F588D93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046FC3BB-A1FA-44A6-B107-35CB30F08B39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1FAE7138-F9BE-4FED-B5B5-D9AEFB596C7F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ECEF3F-D254-4D01-8FC6-937B6822E400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B026C3C-277C-44C0-8D9E-8B5DE483E41B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15384FF-44D8-4067-A7A7-FF4ADCF7F0B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9BD8883E-26A4-41A9-B654-C783839E039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EA1ADD66-22B1-4421-8644-380FB85A8F5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C17B70FA-A024-4440-BCB4-CB4B17AE2785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C3515FC-D365-44C1-9A2B-C8DF3667A64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3E7B3F98-856B-4530-9E00-E6DA41AF5E1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63949F1E-0865-457D-9483-BF61382B46E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7C20120A-8806-43CB-8EBE-C23C8B6CD3DD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0E08A8EE-5D3D-4865-9655-2C8EA5BFEBC5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CA37219-9283-441A-9839-67273F6BFA1E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4FC366AC-FBB7-48DB-81D7-02BD120E1EA9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B0F9D883-0414-4841-8462-A4AD22A65F9C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FA9DE8D2-798B-4D60-90AA-7299C5B0607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C93B815-8B80-4D1D-9B0A-31FC7E8A5AF0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B5FD6B32-E278-4DD0-B32E-065EABC71A2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4E84F047-B3B6-4162-9D75-B2C7F41BCCB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EEABF5F-350D-4260-A2E3-764E63F1E511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1859DF-7535-41F0-930F-2F168DB46F7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30ACA7-1ECA-48CB-AC41-C2C4BF1B04E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52BE418-5243-40A3-993E-C3135E48C84C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A099FA-E5F4-4AC6-8039-484F83FEF39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9C8B6A96-7767-4892-BE8B-D1AD1A35B46A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6AA9CD0-516B-4AED-80DD-9E8C2A1A8E2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47BF691-4297-4B98-AA3D-5DFDCD7ADDA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C3DC0725-DB66-442F-BEDD-46247CE9B217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865AD2C4-DC19-41B2-9314-8CCE977D755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A19D61D-E118-41DB-B553-6B619A3D410C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071E8368-2D8C-4981-8937-F2B4E516DCC9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2065A4C-1BA7-4975-B088-8FDB3D563C9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483B31A-8A57-45C0-B99E-81E086644F3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A78EAE7-93C8-4FB3-9233-10911A4849D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D2F8B7C5-931E-4C5C-95AC-93A92F220C2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7DC99AE-4AD7-45C7-ACDB-F75DB066B55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061BF919-5E23-48D1-99D4-C51AEE26DCA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B4DA209-7C73-4571-B8A9-4F7781D2EC0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AE76667-4A46-45C0-B1C8-A65BE9823DED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3247400-7413-4D84-8D6E-347B70569F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CAF4D4B-8935-49C3-890C-02654C881CFC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20182879-2192-4C02-A243-F257F47A194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1BA524-78AE-4B97-A4F3-A16DB13626C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A83CFB97-6D1A-4D40-BD72-5A5529A89B5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9FDF63D-402B-4D68-BB42-1E65F7F6C21C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D430077-F0DD-433C-9DFA-E7EE93E04BF4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3E1DCC2F-D786-4214-8DA4-15175B7A3AD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CADD699-0CB0-4FDC-BF53-A35AD4F15E7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FEB2F687-D889-433D-9555-25B53CF21E1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81E4E23-5CFC-4F62-9B2F-BC082168203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11C8178D-FA57-45BA-A44F-C9A98AB501E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029A67C-057C-4BA2-B9D9-BD386A9A089A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1CF8A731-CDEF-41F3-8C8C-187D0AD49DE7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85CBCA-7468-4569-B7D0-891BAE7596DC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2D9BBDD-C82F-429E-8AE9-23D52F313C6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5C01611-A399-453F-A14F-2C833756D18F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2A250AA-32F0-45E5-962E-C776F2F7E06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64378E1-E3CD-45EC-84B6-D35903317E2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FF5E957-8C75-4D41-BEF4-CD5DA12583C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A2624BC-7375-4C92-AFD6-B1B806C1319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3CC3ECC-5DB0-4B30-B805-87FAE31FB27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4C16BFEE-BB3B-4FC4-8F64-80889996C7E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9C91C8-ED88-4695-8A9A-43441D190BB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B546FB3-7A30-41EB-A6AB-8F44B60D6564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84412EE-B753-4CD0-8241-631C85508D3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31989DF-2B3B-4F37-B507-FD0F952DA09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E52AEB-3306-474F-8CB4-B0DE65C68EE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7EEFC9D1-D17E-4BCA-9BAE-52071065592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1B08B289-A9A0-4E61-AFDE-719BD2FAD8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2F9B098-0C36-425F-961C-4E49EA6C79F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465DAD3-37FA-4B40-B6C2-F574C700A13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D36D203-4255-4AC5-A5AD-ADC76517F98E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780B702-3EF5-4BC0-A27C-405E476BD40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26A2BB7-4A31-4518-A459-F9E746620D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19E5AB9-2F9E-41B6-B366-9E3BDB9B93F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47ECED3-6328-4EBD-93D2-0BFAC5BC1B3C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B6022F5-B1E2-406F-A7DA-68E3331C13D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96933BC-0F4E-4653-AB3C-B19CFE6113C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64611F0-2408-43E8-8977-4B7C5873A8D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7AA2375-A915-4E12-9BFC-2C680713E8E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059BE355-5B82-4FF3-B332-52B6BC594C4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7A9FA447-D824-4416-9FD6-224B9EA41C2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86628687-13CD-4530-9A8E-DFECF2D316E0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CE58882A-504D-4AEA-9911-DBA3123D034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9CEB58D-DDE4-4918-8FB6-BD1D53799B6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241EF611-D8B0-4A53-8467-520770CA0474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9BECAE2-B06E-4AB7-9FEB-9BB2646633F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80BB5E0-8C2B-441F-9AF4-1FA29845321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0DFC5B62-DCAD-45DB-811C-700B0C42ADB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2CFB44AD-569B-4852-A6A1-6CE42D9B695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7A9292-7E82-4FDE-9621-923D896C04D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B93AB9C-CC80-4D0E-A6DD-AB8DF7E08FE2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34BF818-45C8-47A1-BC38-B963BD8B424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19E6474-F00A-4F33-ADF6-5B67DC1E0F6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D829AE5B-9B74-431B-8B06-3401BA4BBF36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39DD61C0-9699-47B3-81B5-B33CF415A8A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C020821-8F97-4C49-B307-69D619AF3F2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F2508272-8EE4-412C-A165-B2FB00D82036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BBA0E7C-4D8B-4D3F-8DEE-ABA53B4D0FC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2623121-E2FA-4A09-87F8-2E26C226D89B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9517582-89B1-4295-AC77-EDABE7381CC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175A0AD-9557-492C-AE99-133403554CD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A913F7-6437-42EB-9BC1-E4102E813E6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B2A02D-5EC8-4325-B23D-7C79A7B3359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16A887C-0663-43D6-9B4A-7781A0295419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C050066-FF13-4B2C-89EC-30FA1DFBEE5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D928EE4-6594-48AB-BCF4-28DD7C7098FE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A6C1FA-B5DD-48E3-8A75-136F25702DA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91F0D88-862A-49C0-84E6-3D3ADDA856B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818607E-4A27-4FFF-A086-52CCD97FA944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D4E96E78-FC90-43DD-9D62-DEEC82DC140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7C371D1-716D-4A7E-A6AF-C39300C3F95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52B9746-380E-43E5-BCFA-FDF26F69915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030C559-DEC5-4CD7-A801-B6D6B7BE69A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2A62469-6CFE-479F-A026-91E0F72747A4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4DCCA096-59E6-46DF-92E4-AE7CAB6AFE46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B9798B8-7C10-4423-95E3-CFB17670E05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77F134-34AE-43E9-9879-23132196A9E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0C26555C-8471-4112-B099-19A658E3423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11ADF8EE-846A-4F5B-AE3C-392FB003FEF1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C7E2576-8468-4A1F-9BE4-642E6047F46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DF6816-6821-4061-B170-59EB214B352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45781FB1-C738-4D47-8591-015417321021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18EC93D9-B3C2-4ED8-A61C-8D384B0D025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CB2BCA9-37A6-4D07-B470-97DD04393A54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387C182-67AB-4D68-9FFF-18FAADD84FB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A3D559B5-03D9-4597-B617-96F2D1C3D22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3BF5DBCD-C00C-4E7B-8D3A-FCFF65549CB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3BFDF2C4-2860-43DA-A8CF-C84375E6B1E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874D43-4817-4317-8E0D-81583896E5D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B296C232-CF3B-4361-A38A-9227E37BD97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98809E0-A7C0-4949-9F14-04395E7F5A7F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7972CB5-2545-4D14-9D84-F3A805B7C5F8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B97C210-5212-4546-A211-EC149F89BDF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3EFC7595-361B-4FC3-AB64-F430E0E7509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9B1C12A9-5B35-4760-BB4E-B2ECC88D7E49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E21CECF4-7971-4394-AAD6-7D0BCBBBA3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6D96F23-CF96-402A-9A9B-81B51A1B6198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85A6142-610E-4DAE-8347-37A0C8B7EE9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4889E0A-8FB5-43D3-BEA0-3B97145EC1A4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8C836A85-E069-4F73-A3B9-F461DF4EAB1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CABC26A1-25E7-451D-959B-ED3CFFF604F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67D24F91-CDB2-47C5-8EBF-85B16DE56B21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B8BD4FD-8C4F-48B5-8DDE-BADFCC32F7A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F8E1EBC-6C59-4729-8118-535AFC8E0B2A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82118509-F26D-4408-8DEB-735EAC6DF39F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49D20109-01B1-4767-9D4C-EFDC0799FA4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4C09F646-FF2A-4378-9668-3E403074ACA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<sst xmlns="http://schemas.openxmlformats.org/spreadsheetml/2006/main" count="2045" uniqueCount="1350">
  <si>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</si>
  <si>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</si>
  <si>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</si>
  <si>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</si>
  <si>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</si>
  <si>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</si>
  <si>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</si>
  <si>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</si>
  <si>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</si>
  <si>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</si>
  <si>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</si>
  <si>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</si>
  <si>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</si>
  <si>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</si>
  <si>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</si>
  <si>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</si>
  <si>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</si>
  <si>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</si>
  <si>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</si>
  <si>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</si>
  <si>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</si>
  <si>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</si>
  <si>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</si>
  <si>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</si>
  <si>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</si>
  <si>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</si>
  <si>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</si>
  <si>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</si>
  <si>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</si>
  <si>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</si>
  <si>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</si>
  <si>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</si>
  <si>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</si>
  <si>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</si>
  <si>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</si>
  <si>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</si>
  <si>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</si>
  <si>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</si>
  <si>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</si>
  <si>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</si>
  <si>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</si>
  <si>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</si>
  <si>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</si>
  <si>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</si>
  <si>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</si>
  <si>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</si>
  <si>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</si>
  <si>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</si>
  <si>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</si>
  <si>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</si>
  <si>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</si>
  <si>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</si>
  <si>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</si>
  <si>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</si>
  <si>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</si>
  <si>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</si>
  <si>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</si>
  <si>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</si>
  <si>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</si>
  <si>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</si>
  <si>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</si>
  <si>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</si>
  <si>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</si>
  <si>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</si>
  <si>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</si>
  <si>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</si>
  <si>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</si>
  <si>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</si>
  <si>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</si>
  <si>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</si>
  <si>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</si>
  <si>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</si>
  <si>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</si>
  <si>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</si>
  <si>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</si>
  <si>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</si>
  <si>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</si>
  <si>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</si>
  <si>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</si>
  <si>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</si>
  <si>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</si>
  <si>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</si>
  <si>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</si>
  <si>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</si>
  <si>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</si>
  <si>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</si>
  <si>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</si>
  <si>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</si>
  <si>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</si>
  <si>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</si>
  <si>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</si>
  <si>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</si>
  <si>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</si>
  <si>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</si>
  <si>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</si>
  <si>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</si>
  <si>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</si>
  <si>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</si>
  <si>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</si>
  <si>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</si>
  <si>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</si>
  <si>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</si>
  <si>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</si>
  <si>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</si>
  <si>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</si>
  <si>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</si>
  <si>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</si>
  <si>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</si>
  <si>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</si>
  <si>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</si>
  <si>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</si>
  <si>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</si>
  <si>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</si>
  <si>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</si>
  <si>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</si>
  <si>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</si>
  <si>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</si>
  <si>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</si>
  <si>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</si>
  <si>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</si>
  <si>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</si>
  <si>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</si>
  <si>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</si>
  <si>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</si>
  <si>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</si>
  <si>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</si>
  <si>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</si>
  <si>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</si>
  <si>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</si>
  <si>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</si>
  <si>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</si>
  <si>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</si>
  <si>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</si>
  <si>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</si>
  <si>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</si>
  <si>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</si>
  <si>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</si>
  <si>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</si>
  <si>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</si>
  <si>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</si>
  <si>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</si>
  <si>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</si>
  <si>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</si>
  <si>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</si>
  <si>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</si>
  <si>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</si>
  <si>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</si>
  <si>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</si>
  <si>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</si>
  <si>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</si>
  <si>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</si>
  <si>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</si>
  <si>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</si>
  <si>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</si>
  <si>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</si>
  <si>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</si>
  <si>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</si>
  <si>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</si>
  <si>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</si>
  <si>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</si>
  <si>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</si>
  <si>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</si>
  <si>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</si>
  <si>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</si>
  <si>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</si>
  <si>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</si>
  <si>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</si>
  <si>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</si>
  <si>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</si>
  <si>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</si>
  <si>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</si>
  <si>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</si>
  <si>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</si>
  <si>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</si>
  <si>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</si>
  <si>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</si>
  <si>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</si>
  <si>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</si>
  <si>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</si>
  <si>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</si>
  <si>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</si>
  <si>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</si>
  <si>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</si>
  <si>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</si>
  <si>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</si>
  <si>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</si>
  <si>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</si>
  <si>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</si>
  <si>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</si>
  <si>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</si>
  <si>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</si>
  <si>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</si>
  <si>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</si>
  <si>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</si>
  <si>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</si>
  <si>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</si>
  <si>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</si>
  <si>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</si>
  <si>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</si>
  <si>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</si>
  <si>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</si>
  <si>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</si>
  <si>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</si>
  <si>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</si>
  <si>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</si>
  <si>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</si>
  <si>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</si>
  <si>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</si>
  <si>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</si>
  <si>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</si>
  <si>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</si>
  <si>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</si>
  <si>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</si>
  <si>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</si>
  <si>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</si>
  <si>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</si>
  <si>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</si>
  <si>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</si>
  <si>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</si>
  <si>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</si>
  <si>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</si>
  <si>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</si>
  <si>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</si>
  <si>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</si>
  <si>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</si>
  <si>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</si>
  <si>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</si>
  <si>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</si>
  <si>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</si>
  <si>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</si>
  <si>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</si>
  <si>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</si>
  <si>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</si>
  <si>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</si>
  <si>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</si>
  <si>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</si>
  <si>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</si>
  <si>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</si>
  <si>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</si>
  <si>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</si>
  <si>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</si>
  <si>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</si>
  <si>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</si>
  <si>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</si>
  <si>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</si>
  <si>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</si>
  <si>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</si>
  <si>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</si>
  <si>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</si>
  <si>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</si>
  <si>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</si>
  <si>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</si>
  <si>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</si>
  <si>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</si>
  <si>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</si>
  <si>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</si>
  <si>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</si>
  <si>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</si>
  <si>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</si>
  <si>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</si>
  <si>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</si>
  <si>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</si>
  <si>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</si>
  <si>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</si>
  <si>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</si>
  <si>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</si>
  <si>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</si>
  <si>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</si>
  <si>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</si>
  <si>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</si>
  <si>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</si>
  <si>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</si>
  <si>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</si>
  <si>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</si>
  <si>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</si>
  <si>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</si>
  <si>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</si>
  <si>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</si>
  <si>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</si>
  <si>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</si>
  <si>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</si>
  <si>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</si>
  <si>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</si>
  <si>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</si>
  <si>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</si>
  <si>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</si>
  <si>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</si>
  <si>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</si>
  <si>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</si>
  <si>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</si>
  <si>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</si>
  <si>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</si>
  <si>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</si>
  <si>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</si>
  <si>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</si>
  <si>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</si>
  <si>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</si>
  <si>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</si>
  <si>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</si>
  <si>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</si>
  <si>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</si>
  <si>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</si>
  <si>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</si>
  <si>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</si>
  <si>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</si>
  <si>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</si>
  <si>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</si>
  <si>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</si>
  <si>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</si>
  <si>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</si>
  <si>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</si>
  <si>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</si>
  <si>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</si>
  <si>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</si>
  <si>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</si>
  <si>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</si>
  <si>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</si>
  <si>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</si>
  <si>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</si>
  <si>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</si>
  <si>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</si>
  <si>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</si>
  <si>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</si>
  <si>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</si>
  <si>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</si>
  <si>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</si>
  <si>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</si>
  <si>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</si>
  <si>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</si>
  <si>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</si>
  <si>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</si>
  <si>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</si>
  <si>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</si>
  <si>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</si>
  <si>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</si>
  <si>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</si>
  <si>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</si>
  <si>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</si>
  <si>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</si>
  <si>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</si>
  <si>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</si>
  <si>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</si>
  <si>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</si>
  <si>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</si>
  <si>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</si>
  <si>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</si>
  <si>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</si>
  <si>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</si>
  <si>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</si>
  <si>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</si>
  <si>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</si>
  <si>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</si>
  <si>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</si>
  <si>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</si>
  <si>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</si>
  <si>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</si>
  <si>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</si>
  <si>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</si>
  <si>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</si>
  <si>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</si>
  <si>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</si>
  <si>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</si>
  <si>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</si>
  <si>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</si>
  <si>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</si>
  <si>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</si>
  <si>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</si>
  <si>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</si>
  <si>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</si>
  <si>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</si>
  <si>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</si>
  <si>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</si>
  <si>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</si>
  <si>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</si>
  <si>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</si>
  <si>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</si>
  <si>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</si>
  <si>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</si>
  <si>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</si>
  <si>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</si>
  <si>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</si>
  <si>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</si>
  <si>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</si>
  <si>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</si>
  <si>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</si>
  <si>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</si>
  <si>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</si>
  <si>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</si>
  <si>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</si>
  <si>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</si>
  <si>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</si>
  <si>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</si>
  <si>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</si>
  <si>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</si>
  <si>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</si>
  <si>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</si>
  <si>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</si>
  <si>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</si>
  <si>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</si>
  <si>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</si>
  <si>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</si>
  <si>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</si>
  <si>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</si>
  <si>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</si>
  <si>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</si>
  <si>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</si>
  <si>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</si>
  <si>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</si>
  <si>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</si>
  <si>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</si>
  <si>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</si>
  <si>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</si>
  <si>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</si>
  <si>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</si>
  <si>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</si>
  <si>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</si>
  <si>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</si>
  <si>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</si>
  <si>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</si>
  <si>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</si>
  <si>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</si>
  <si>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</si>
  <si>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</si>
  <si>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</si>
  <si>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</si>
  <si>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</si>
  <si>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</si>
  <si>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</si>
  <si>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</si>
  <si>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</si>
  <si>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</si>
  <si>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</si>
  <si>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</si>
  <si>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</si>
  <si>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</si>
  <si>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</si>
  <si>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</si>
  <si>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</si>
  <si>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</si>
  <si>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</si>
  <si>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</si>
  <si>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</si>
  <si>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</si>
  <si>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</si>
  <si>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</si>
  <si>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</si>
  <si>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</si>
  <si>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</si>
  <si>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</si>
  <si>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</si>
  <si>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</si>
  <si>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</si>
  <si>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</si>
  <si>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</si>
  <si>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</si>
  <si>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</si>
  <si>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</si>
  <si>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</si>
  <si>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</si>
  <si>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</si>
  <si>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</si>
  <si>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</si>
  <si>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</si>
  <si>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</si>
  <si>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</si>
  <si>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</si>
  <si>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</si>
  <si>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</si>
  <si>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</si>
  <si>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</si>
  <si>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</si>
  <si>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</si>
  <si>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</si>
  <si>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</si>
  <si>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</si>
  <si>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</si>
  <si>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</si>
  <si>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</si>
  <si>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</si>
  <si>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</si>
  <si>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</si>
  <si>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</si>
  <si>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</si>
  <si>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</si>
  <si>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</si>
  <si>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</si>
  <si>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</si>
  <si>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</si>
  <si>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</si>
  <si>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</si>
  <si>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</si>
  <si>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</si>
  <si>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</si>
  <si>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</si>
  <si>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</si>
  <si>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</si>
  <si>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</si>
  <si>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</si>
  <si>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</si>
  <si>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</si>
  <si>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</si>
  <si>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</si>
  <si>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</si>
  <si>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</si>
  <si>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</si>
  <si>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</si>
  <si>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</si>
  <si>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</si>
  <si>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</si>
  <si>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</si>
  <si>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</si>
  <si>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</si>
  <si>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</si>
  <si>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</si>
  <si>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</si>
  <si>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</si>
  <si>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</si>
  <si>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</si>
  <si>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</si>
  <si>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</si>
  <si>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</si>
  <si>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</si>
  <si>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</si>
  <si>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</si>
  <si>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</si>
  <si>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</si>
  <si>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</si>
  <si>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</si>
  <si>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</si>
  <si>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</si>
  <si>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</si>
  <si>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</si>
  <si>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</si>
  <si>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</si>
  <si>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</si>
  <si>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</si>
  <si>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</si>
  <si>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</si>
  <si>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</si>
  <si>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</si>
  <si>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</si>
  <si>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</si>
  <si>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</si>
  <si>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</si>
  <si>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</si>
  <si>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</si>
  <si>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</si>
  <si>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</si>
  <si>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</si>
  <si>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</si>
  <si>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</si>
  <si>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</si>
  <si>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</si>
  <si>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</si>
  <si>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</si>
  <si>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</si>
  <si>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</si>
  <si>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</si>
  <si>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</si>
  <si>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</si>
  <si>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</si>
  <si>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</si>
  <si>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</si>
  <si>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</si>
  <si>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</si>
  <si>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</si>
  <si>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</si>
  <si>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</si>
  <si>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</si>
  <si>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</si>
  <si>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</si>
  <si>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</si>
  <si>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</si>
  <si>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</si>
  <si>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</si>
  <si>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</si>
  <si>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</si>
  <si>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</si>
  <si>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</si>
  <si>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</si>
  <si>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</si>
  <si>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</si>
  <si>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</si>
  <si>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</si>
  <si>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</si>
  <si>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</si>
  <si>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</si>
  <si>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</si>
  <si>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</si>
  <si>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</si>
  <si>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</si>
  <si>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</si>
  <si>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</si>
  <si>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</si>
  <si>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</si>
  <si>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</si>
  <si>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</si>
  <si>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</si>
  <si>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</si>
  <si>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</si>
  <si>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</si>
  <si>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</si>
  <si>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</si>
  <si>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</si>
  <si>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</si>
  <si>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</si>
  <si>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</si>
  <si>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</si>
  <si>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</si>
  <si>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</si>
  <si>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</si>
  <si>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</si>
  <si>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</si>
  <si>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</si>
  <si>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</si>
  <si>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</si>
  <si>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</si>
  <si>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</si>
  <si>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</si>
  <si>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</si>
  <si>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</si>
  <si>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</si>
  <si>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</si>
  <si>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</si>
  <si>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</si>
  <si>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</si>
  <si>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</si>
  <si>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</si>
  <si>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</si>
  <si>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</si>
  <si>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</si>
  <si>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</si>
  <si>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</si>
  <si>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</si>
  <si>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</si>
  <si>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</si>
  <si>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</si>
  <si>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</si>
  <si>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</si>
  <si>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</si>
  <si>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</si>
  <si>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</si>
  <si>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</si>
  <si>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</si>
  <si>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</si>
  <si>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</si>
  <si>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</si>
  <si>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</si>
  <si>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</si>
  <si>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</si>
  <si>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</si>
  <si>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</si>
  <si>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</si>
  <si>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</si>
  <si>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</si>
  <si>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</si>
  <si>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</si>
  <si>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</si>
  <si>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</si>
  <si>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</si>
  <si>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</si>
  <si>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</si>
  <si>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</si>
  <si>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</si>
  <si>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</si>
  <si>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</si>
  <si>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</si>
  <si>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</si>
  <si>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</si>
  <si>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</si>
  <si>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</si>
  <si>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</si>
  <si>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</si>
  <si>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</si>
  <si>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</si>
  <si>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</si>
  <si>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</si>
  <si>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</si>
  <si>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</si>
  <si>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</si>
  <si>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</si>
  <si>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</si>
  <si>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</si>
  <si>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</si>
  <si>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</si>
  <si>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</si>
  <si>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</si>
  <si>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</si>
  <si>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</si>
  <si>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</si>
  <si>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</si>
  <si>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</si>
  <si>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</si>
  <si>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</si>
  <si>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</si>
  <si>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</si>
  <si>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</si>
  <si>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</si>
  <si>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</si>
  <si>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</si>
  <si>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</si>
  <si>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</si>
  <si>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</si>
  <si>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</si>
  <si>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</si>
  <si>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</si>
  <si>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</si>
  <si>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</si>
  <si>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</si>
  <si>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</si>
  <si>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</si>
  <si>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</si>
  <si>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</si>
  <si>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</si>
  <si>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</si>
  <si>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</si>
  <si>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</si>
  <si>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</si>
  <si>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</si>
  <si>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</si>
  <si>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</si>
  <si>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</si>
  <si>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</si>
  <si>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</si>
  <si>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</si>
  <si>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</si>
  <si>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</si>
  <si>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</si>
  <si>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</si>
  <si>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</si>
  <si>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</si>
  <si>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</si>
  <si>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</si>
  <si>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</si>
  <si>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</si>
  <si>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</si>
  <si>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</si>
  <si>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</si>
  <si>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</si>
  <si>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</si>
  <si>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</si>
  <si>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</si>
  <si>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</si>
  <si>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</si>
  <si>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</si>
  <si>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</si>
  <si>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</si>
  <si>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</si>
  <si>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</si>
  <si>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</si>
  <si>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</si>
  <si>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</si>
  <si>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</si>
  <si>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</si>
  <si>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</si>
  <si>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</si>
  <si>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</si>
  <si>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</si>
  <si>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</si>
  <si>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</si>
  <si>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</si>
  <si>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</si>
  <si>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</si>
  <si>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</si>
  <si>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</si>
  <si>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</si>
  <si>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</si>
  <si>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</si>
  <si>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</si>
  <si>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</si>
  <si>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</si>
  <si>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</si>
  <si>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</si>
  <si>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</si>
  <si>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</si>
  <si>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</si>
  <si>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</si>
  <si>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</si>
  <si>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</si>
  <si>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</si>
  <si>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</si>
  <si>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</si>
  <si>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</si>
  <si>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</si>
  <si>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</si>
  <si>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</si>
  <si>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</si>
  <si>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</si>
  <si>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</si>
  <si>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</si>
  <si>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</si>
  <si>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</si>
  <si>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</si>
  <si>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</si>
  <si>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</si>
  <si>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</si>
  <si>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</si>
  <si>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</si>
  <si>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</si>
  <si>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</si>
  <si>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</si>
  <si>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</si>
  <si>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</si>
  <si>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</si>
  <si>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</si>
  <si>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</si>
  <si>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</si>
  <si>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</si>
  <si>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</si>
  <si>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</si>
  <si>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</si>
  <si>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</si>
  <si>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</si>
  <si>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</si>
  <si>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</si>
  <si>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</si>
  <si>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</si>
  <si>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</si>
  <si>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</si>
  <si>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</si>
  <si>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</si>
  <si>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</si>
  <si>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</si>
  <si>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</si>
  <si>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</si>
  <si>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</si>
  <si>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</si>
  <si>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</si>
  <si>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</si>
  <si>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</si>
  <si>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</si>
  <si>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</si>
  <si>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</si>
  <si>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</si>
  <si>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</si>
  <si>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</si>
  <si>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</si>
  <si>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</si>
  <si>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</si>
  <si>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</si>
  <si>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</si>
  <si>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</si>
  <si>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</si>
  <si>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</si>
  <si>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</si>
  <si>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</si>
  <si>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</si>
  <si>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</si>
  <si>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</si>
  <si>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</si>
  <si>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</si>
  <si>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</si>
  <si>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</si>
  <si>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</si>
  <si>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</si>
  <si>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</si>
  <si>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</si>
  <si>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</si>
  <si>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</si>
  <si>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</si>
  <si>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</si>
  <si>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</si>
  <si>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</si>
  <si>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</si>
  <si>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</si>
  <si>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</si>
  <si>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</si>
  <si>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</si>
  <si>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</si>
  <si>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</si>
  <si>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</si>
  <si>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</si>
  <si>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</si>
  <si>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</si>
  <si>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</si>
  <si>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</si>
  <si>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</si>
  <si>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</si>
  <si>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</si>
  <si>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</si>
  <si>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</si>
  <si>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</si>
  <si>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</si>
  <si>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</si>
  <si>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</si>
  <si>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</si>
  <si>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</si>
  <si>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</si>
  <si>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</si>
  <si>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</si>
  <si>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</si>
  <si>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</si>
  <si>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</si>
  <si>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</si>
  <si>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</si>
  <si>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</si>
  <si>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</si>
  <si>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</si>
  <si>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</si>
  <si>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</si>
  <si>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</si>
  <si>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</si>
  <si>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</si>
  <si>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</si>
  <si>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</si>
  <si>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</si>
  <si>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</si>
  <si>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</si>
  <si>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</si>
  <si>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</si>
  <si>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</si>
  <si>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</si>
  <si>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</si>
  <si>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</si>
  <si>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</si>
  <si>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</si>
  <si>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</si>
  <si>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</si>
  <si>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</si>
  <si>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</si>
  <si>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</si>
  <si>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</si>
  <si>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</si>
  <si>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</si>
  <si>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</si>
  <si>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</si>
  <si>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</si>
  <si>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</si>
  <si>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</si>
  <si>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</si>
  <si>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</si>
  <si>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</si>
  <si>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</si>
  <si>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</si>
  <si>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</si>
  <si>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</si>
  <si>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</si>
  <si>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</si>
  <si>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</si>
  <si>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</si>
  <si>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</si>
  <si>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</si>
  <si>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</si>
  <si>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</si>
  <si>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</si>
  <si>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</si>
  <si>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</si>
  <si>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</si>
  <si>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</si>
  <si>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</si>
  <si>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</si>
  <si>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</si>
  <si>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</si>
  <si>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</si>
  <si>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</si>
  <si>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</si>
  <si>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</si>
  <si>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</si>
  <si>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</si>
  <si>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</si>
  <si>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</si>
  <si>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</si>
  <si>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</si>
  <si>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</si>
  <si>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</si>
  <si>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</si>
  <si>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</si>
  <si>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</si>
  <si>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</si>
  <si>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</si>
  <si>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</si>
  <si>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</si>
  <si>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</si>
  <si>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</si>
  <si>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</si>
  <si>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</si>
  <si>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</si>
  <si>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</si>
  <si>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</si>
  <si>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</si>
  <si>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</si>
  <si>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</si>
  <si>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</si>
  <si>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</si>
  <si>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</si>
  <si>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</si>
  <si>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</si>
  <si>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</si>
  <si>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</si>
  <si>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</si>
  <si>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</si>
  <si>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</si>
  <si>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</si>
  <si>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</si>
  <si>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</si>
  <si>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</si>
  <si>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</si>
  <si>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</si>
  <si>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</si>
  <si>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</si>
  <si>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</si>
  <si>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</si>
  <si>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</si>
  <si>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</si>
  <si>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</si>
  <si>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</si>
  <si>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</si>
  <si>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</si>
  <si>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</si>
  <si>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</si>
  <si>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</si>
  <si>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</si>
  <si>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</si>
  <si>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</si>
  <si>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</si>
  <si>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</si>
  <si>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</si>
  <si>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</si>
  <si>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</si>
  <si>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</si>
  <si>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</si>
  <si>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</si>
  <si>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</si>
  <si>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</si>
  <si>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</si>
  <si>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</si>
  <si>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</si>
  <si>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</si>
  <si>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</si>
  <si>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</si>
  <si>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</si>
  <si>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</si>
  <si>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</si>
  <si>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</si>
  <si>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</si>
  <si>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</si>
  <si>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</si>
  <si>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</si>
  <si>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</si>
  <si>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</si>
  <si>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</si>
  <si>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</si>
  <si>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</si>
  <si>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</si>
  <si>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</si>
  <si>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</si>
  <si>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</si>
  <si>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</si>
  <si>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</si>
  <si>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</si>
  <si>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</si>
  <si>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</si>
  <si>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</si>
  <si>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</si>
  <si>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</si>
  <si>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</si>
  <si>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</si>
  <si>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</si>
  <si>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</si>
  <si>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</si>
  <si>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</si>
  <si>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</si>
  <si>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</si>
  <si>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</si>
  <si>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</si>
  <si>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</si>
  <si>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</si>
  <si>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</si>
  <si>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</si>
  <si>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</si>
  <si>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</si>
  <si>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</si>
  <si>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</si>
  <si>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</si>
  <si>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</si>
  <si>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</si>
  <si>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</si>
  <si>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</si>
  <si>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</si>
  <si>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</si>
  <si>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</si>
  <si>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</si>
  <si>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</si>
  <si>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</si>
  <si>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</si>
  <si>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</si>
  <si>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</si>
  <si>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</si>
  <si>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</si>
  <si>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</si>
  <si>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</si>
  <si>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</si>
  <si>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</si>
  <si>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</si>
  <si>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</si>
  <si>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</si>
  <si>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</si>
  <si>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</si>
  <si>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</si>
  <si>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</si>
  <si>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</si>
  <si>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</si>
  <si>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</si>
  <si>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</si>
  <si>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</si>
  <si>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</si>
  <si>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</si>
  <si>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</si>
  <si>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</si>
  <si>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</si>
  <si>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</si>
  <si>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</si>
  <si>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</si>
  <si>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</si>
  <si>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</si>
  <si>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</si>
  <si>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</si>
  <si>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</si>
  <si>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</si>
  <si>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</si>
  <si>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</si>
  <si>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</si>
  <si>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</si>
  <si>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</si>
  <si>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</si>
  <si>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</si>
  <si>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</si>
  <si>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</si>
  <si>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</si>
  <si>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</si>
  <si>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</si>
  <si>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</si>
  <si>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</si>
  <si>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</si>
  <si>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</si>
  <si>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</si>
  <si>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</si>
  <si>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</si>
  <si>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</si>
  <si>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</si>
  <si>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</si>
  <si>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</si>
  <si>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</si>
  <si>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</si>
  <si>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</si>
  <si>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</si>
  <si>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</si>
  <si>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</si>
  <si>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</si>
  <si>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</si>
  <si>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</si>
  <si>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</si>
  <si>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</si>
  <si>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</si>
  <si>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</si>
  <si>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</si>
  <si>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</si>
  <si>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</si>
  <si>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</si>
  <si>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</si>
  <si>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</si>
  <si>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</si>
  <si>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</si>
  <si>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</si>
  <si>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</si>
  <si>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</si>
  <si>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</si>
  <si>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</si>
  <si>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</si>
  <si>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</si>
  <si>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</si>
  <si>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</si>
  <si>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</si>
  <si>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</si>
  <si>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</si>
  <si>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</si>
  <si>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</si>
  <si>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</si>
  <si>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</si>
  <si>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</si>
  <si>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</si>
  <si>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</si>
  <si>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</si>
  <si>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</si>
  <si>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</si>
  <si>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</si>
  <si>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</si>
  <si>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</si>
  <si>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</si>
  <si>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</si>
  <si>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</si>
  <si>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</si>
  <si>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</si>
  <si>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</si>
  <si>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</si>
  <si>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</si>
  <si>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</si>
  <si>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</si>
  <si>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</si>
  <si>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</si>
  <si>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</si>
  <si>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</si>
  <si>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</si>
  <si>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</si>
  <si>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</si>
  <si>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</si>
  <si>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</si>
  <si>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</si>
  <si>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</si>
  <si>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</si>
  <si>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</si>
  <si>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</si>
  <si>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</si>
  <si>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</si>
  <si>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</si>
  <si>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</si>
  <si>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</si>
  <si>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</si>
  <si>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</si>
  <si>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</si>
  <si>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</si>
  <si>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</si>
  <si>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</si>
  <si>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</si>
  <si>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</si>
  <si>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</si>
  <si>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</si>
  <si>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</si>
  <si>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</si>
  <si>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</si>
  <si>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</si>
  <si>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</si>
  <si>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</si>
  <si>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</si>
  <si>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</si>
  <si>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</si>
  <si>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</si>
  <si>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</si>
  <si>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</si>
  <si>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</si>
  <si>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</si>
  <si>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</si>
  <si>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</si>
  <si>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</si>
  <si>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</si>
  <si>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</si>
  <si>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</si>
  <si>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</si>
  <si>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</si>
  <si>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</si>
  <si>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</si>
  <si>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</si>
  <si>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</si>
  <si>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</si>
  <si>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</si>
  <si>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</si>
  <si>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</si>
  <si>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</si>
  <si>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</si>
  <si>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</si>
  <si>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</si>
  <si>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</si>
  <si>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</si>
  <si>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</si>
  <si>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</si>
  <si>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</si>
  <si>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</si>
  <si>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</si>
  <si>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</si>
  <si>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</si>
  <si>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</si>
  <si>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</si>
  <si>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</si>
  <si>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</si>
  <si>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</si>
  <si>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</si>
  <si>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</si>
  <si>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</si>
  <si>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</si>
  <si>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</si>
  <si>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</si>
  <si>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</si>
  <si>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</si>
  <si>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</si>
  <si>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</si>
  <si>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</si>
  <si>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</si>
  <si>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</si>
  <si>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</si>
  <si>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</si>
  <si>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</si>
  <si>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</si>
  <si>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</si>
  <si>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</si>
  <si>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</si>
  <si>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</si>
  <si>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</si>
  <si>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</si>
  <si>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</si>
  <si>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</si>
  <si>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</si>
  <si>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</si>
  <si>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</si>
  <si>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</si>
  <si>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</si>
  <si>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</si>
  <si>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</si>
  <si>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</si>
  <si>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</si>
  <si>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</si>
  <si>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</si>
  <si>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</si>
  <si>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</si>
  <si>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</si>
  <si>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</si>
  <si>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</si>
  <si>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</si>
  <si>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</si>
  <si>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</si>
  <si>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</si>
  <si>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</si>
  <si>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</si>
  <si>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mod_on_hit_cast</t>
  </si>
  <si>
    <t>On Hit Cast</t>
  </si>
  <si>
    <t>special</t>
  </si>
  <si>
    <t>Cast ability when dealing damage to target</t>
  </si>
  <si>
    <t>res://scripts/npc/ai/modules/on_hit_cast_module.gd</t>
  </si>
  <si>
    <t>{"ability_id": "", "condition": "", "cast_chance": 1.0, "aoe_buff_radius": 150}</t>
  </si>
  <si>
    <t>status_blood_frenzy</t>
  </si>
  <si>
    <t>Blood Frenzy</t>
  </si>
  <si>
    <t>blood_particles</t>
  </si>
  <si>
    <t>#8B0000</t>
  </si>
  <si>
    <t>player_full_health</t>
  </si>
  <si>
    <t>Wolves become faster and more aggressive when they smell blood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</si>
  <si>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</si>
  <si>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</si>
  <si>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</si>
  <si>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</si>
  <si>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</si>
  <si>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</si>
  <si>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</si>
  <si>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</si>
  <si>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</si>
  <si>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</si>
  <si>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</si>
  <si>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mod_target_detection,mod_pack_alert,mod_on_hit_cast,mod_leash,mod_chase,mod_surround,mod_circle,mod_combat,mod_idle</t>
  </si>
  <si>
    <t>A desperate, hungry wolf. Circles prey before leaping.</t>
  </si>
  <si>
    <t>never</t>
  </si>
  <si>
    <t>Starved Wolf Loot</t>
  </si>
  <si>
    <t>{"mod_on_hit_cast": {"ability_id": "abi_blood_howl", "condition": "self_not_buffed:blood_frenzy"}, "mod_circle": {"circle_radius": 140, "circle_speed_mult": 0.8}}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</si>
</sst>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topLeftCell="C1" zoomScale="85" zoomScaleNormal="85" workbookViewId="0">
      <selection activeCell="P21" sqref="P21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5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1313</v>
      </c>
      <c r="N6" s="43" t="s">
        <v>1314</v>
      </c>
      <c r="O6" s="43"/>
    </row>
    <row r="7" spans="1:15" ht="29" x14ac:dyDescent="0.35">
      <c r="A7" s="46" t="s">
        <v>1272</v>
      </c>
      <c r="B7" s="47" t="s">
        <v>1273</v>
      </c>
      <c r="C7" s="47" t="s">
        <v>175</v>
      </c>
      <c r="D7" s="47">
        <v>35</v>
      </c>
      <c r="E7" s="47">
        <v>2</v>
      </c>
      <c r="F7" s="47">
        <v>0</v>
      </c>
      <c r="G7" s="47">
        <v>0</v>
      </c>
      <c r="H7" s="47">
        <v>60</v>
      </c>
      <c r="I7" s="47">
        <v>1</v>
      </c>
      <c r="J7" s="43">
        <v>300</v>
      </c>
      <c r="K7" s="47">
        <v>25</v>
      </c>
      <c r="L7" s="47" t="s">
        <v>1274</v>
      </c>
      <c r="M7" s="47" t="s">
        <v>1275</v>
      </c>
      <c r="N7" s="47" t="s">
        <v>1307</v>
      </c>
      <c r="O7" s="47"/>
    </row>
    <row r="8" spans="1:15" ht="29" x14ac:dyDescent="0.35">
      <c r="A8" s="46" t="s">
        <v>1276</v>
      </c>
      <c r="B8" s="47" t="s">
        <v>1277</v>
      </c>
      <c r="C8" s="47" t="s">
        <v>1278</v>
      </c>
      <c r="D8" s="47">
        <v>500</v>
      </c>
      <c r="E8" s="47">
        <v>3</v>
      </c>
      <c r="F8" s="47">
        <v>20</v>
      </c>
      <c r="G8" s="47">
        <v>0</v>
      </c>
      <c r="H8" s="47">
        <v>50</v>
      </c>
      <c r="I8" s="47" t="s">
        <v>136</v>
      </c>
      <c r="J8" s="43">
        <v>300</v>
      </c>
      <c r="K8" s="47">
        <v>500</v>
      </c>
      <c r="L8" s="47" t="s">
        <v>1279</v>
      </c>
      <c r="M8" s="47" t="s">
        <v>1280</v>
      </c>
      <c r="N8" s="47"/>
      <c r="O8" s="47"/>
    </row>
    <row r="9" spans="1:15" ht="43.5" x14ac:dyDescent="0.35">
      <c r="A9" s="46" t="s">
        <v>1342</v>
      </c>
      <c r="B9" s="47" t="s">
        <v>1343</v>
      </c>
      <c r="C9" s="47" t="s">
        <v>175</v>
      </c>
      <c r="D9" s="47">
        <v>40</v>
      </c>
      <c r="E9" s="47">
        <v>8</v>
      </c>
      <c r="F9" s="47">
        <v>0</v>
      </c>
      <c r="G9" s="47">
        <v>0</v>
      </c>
      <c r="H9" s="47">
        <v>70</v>
      </c>
      <c r="I9" s="47" t="s">
        <v>127</v>
      </c>
      <c r="J9" s="47">
        <v>250</v>
      </c>
      <c r="K9" s="47">
        <v>15</v>
      </c>
      <c r="L9" s="47" t="s">
        <v>1344</v>
      </c>
      <c r="M9" s="47" t="s">
        <v>1345</v>
      </c>
      <c r="N9" s="47" t="s">
        <v>1349</v>
      </c>
      <c r="O9" s="47" t="s">
        <v>1346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3"/>
  <sheetViews>
    <sheetView workbookViewId="0">
      <selection activeCell="G13" sqref="G13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1322</v>
      </c>
      <c r="B13" t="s">
        <v>1323</v>
      </c>
      <c r="C13" t="s">
        <v>1324</v>
      </c>
      <c r="D13" t="s">
        <v>1325</v>
      </c>
      <c r="E13" t="s">
        <v>1326</v>
      </c>
      <c r="F13">
        <v>92</v>
      </c>
      <c r="G13" t="s">
        <v>1327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1342</v>
      </c>
      <c r="B15" t="s">
        <v>1334</v>
      </c>
      <c r="C15">
        <v>100</v>
      </c>
      <c r="D15" t="s">
        <v>1248</v>
      </c>
    </row>
    <row r="16" spans="1:7" x14ac:dyDescent="0.35">
      <c r="A16" t="s">
        <v>1342</v>
      </c>
      <c r="B16" t="s">
        <v>1338</v>
      </c>
      <c r="C16">
        <v>150</v>
      </c>
      <c r="D16" t="s">
        <v>1347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10"/>
  <sheetViews>
    <sheetView tabSelected="1" workbookViewId="0">
      <selection activeCell="K27" sqref="K27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  <row r="9" spans="1:16" x14ac:dyDescent="0.35">
      <c r="A9" t="s">
        <v>1334</v>
      </c>
      <c r="B9" t="s">
        <v>1335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I9">
        <v>0</v>
      </c>
      <c r="J9">
        <v>0</v>
      </c>
      <c r="K9" t="s">
        <v>1232</v>
      </c>
      <c r="L9">
        <v>80</v>
      </c>
      <c r="N9" t="s">
        <v>1223</v>
      </c>
      <c r="O9" t="s">
        <v>1336</v>
      </c>
      <c r="P9" t="s">
        <v>1337</v>
      </c>
    </row>
    <row r="10" spans="1:16" x14ac:dyDescent="0.35">
      <c r="A10" t="s">
        <v>1338</v>
      </c>
      <c r="B10" t="s">
        <v>1339</v>
      </c>
      <c r="C10" t="s">
        <v>1242</v>
      </c>
      <c r="D10" s="39">
        <v>0</v>
      </c>
      <c r="F10">
        <v>0</v>
      </c>
      <c r="G10">
        <v>0</v>
      </c>
      <c r="H10" t="s">
        <v>259</v>
      </c>
      <c r="I10">
        <v>0</v>
      </c>
      <c r="J10">
        <v>150</v>
      </c>
      <c r="L10">
        <v>0</v>
      </c>
      <c r="M10" t="s">
        <v>1328</v>
      </c>
      <c r="N10" t="s">
        <v>1223</v>
      </c>
      <c r="O10" t="s">
        <v>1340</v>
      </c>
      <c r="P10" t="s">
        <v>1341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1344</v>
      </c>
      <c r="B9" t="s">
        <v>1348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8E9438CD-C47C-467C-A12D-450B1A68CD9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7A54871-5C9C-4C38-B71B-A0210FC47F3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5"/>
  <sheetViews>
    <sheetView workbookViewId="0">
      <selection activeCell="N19" sqref="N19"/>
    </sheetView>
  </sheetViews>
  <sheetFormatPr defaultRowHeight="14.5" x14ac:dyDescent="0.35"/>
  <cols>
    <col min="1" max="1" width="26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1328</v>
      </c>
      <c r="B5" t="s">
        <v>1329</v>
      </c>
      <c r="C5" t="s">
        <v>1242</v>
      </c>
      <c r="D5" t="s">
        <v>108</v>
      </c>
      <c r="E5">
        <v>30</v>
      </c>
      <c r="F5">
        <v>60</v>
      </c>
      <c r="G5">
        <v>0</v>
      </c>
      <c r="H5" t="s">
        <v>1330</v>
      </c>
      <c r="I5" t="s">
        <v>230</v>
      </c>
      <c r="J5">
        <v>1</v>
      </c>
      <c r="K5" t="s">
        <v>229</v>
      </c>
      <c r="L5" t="s">
        <v>1331</v>
      </c>
      <c r="M5" t="s">
        <v>1332</v>
      </c>
      <c r="N5" t="s">
        <v>1333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2026-01-17T16:03:39Z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