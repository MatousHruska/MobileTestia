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69E82262-D550-407B-9A4A-3150CB7EBE9D}" xr6:coauthVersionLast="47" xr6:coauthVersionMax="47" xr10:uidLastSave="{00000000-0000-0000-0000-000000000000}"/>
  <bookViews>
    <workbookView xWindow="-110" yWindow="-110" windowWidth="38620" windowHeight="21100" tabRatio="1000" firstSheet="5" activeTab="26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08E79EE7-217A-428D-8B02-7D3C20BCD303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5AABF35F-81C7-4BBC-A4DD-79D3AA5323AB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986B7A0A-64B9-4FAC-8E3B-FD9DEBB792B4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A1CDD620-52A4-4C59-BC1C-72390C7C9B8B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0394E0C9-7CBD-49DB-9FB8-26B5A356CE99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974F62A4-5683-4D2C-A210-44AB2CB6B8A2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E8366FF0-DFE9-47D0-8492-38581494122F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EBD5C270-9C4D-4805-BDCA-DCAAEE0BB24E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FF509FAF-33EE-45BD-AA77-8AF21E5DD18A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B618A7A6-0D88-4649-BE8F-79DD2B7E8A6B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24D359A2-EEFE-44B2-93FD-09D1AED57CAB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B3BFA5C5-424C-41A7-8A44-AEC425863205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128BB91E-0E29-46F9-9BE1-773E71899AC1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29174CC3-45A3-4041-8F8F-0532367FB615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6F675DF9-45BB-4143-8082-A0BD74FF1134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D9C3CF2E-FDCC-4098-B860-CC96DEF25D96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6AEFE16A-530B-4C27-BC2E-E5CA15D64E46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1DC21F15-E50E-42A1-9E18-8B11E5FAF189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43C93FE7-9D79-421C-9347-874A5D5F32CF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631C576A-EFF2-4014-8428-B553CFCA5F3B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EFEA998C-F14A-4F22-8DE4-41A5FB6B0C91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6824968D-8E76-403E-AE3F-0CD20CF74C8C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2C0F7ABF-66F5-435E-9AE8-408A9A73A165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2A7A196A-DD60-401B-A494-C279203AC8C2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AA21C66A-6F68-4974-86D5-E5A75E215A0D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C57F8052-9BFE-477C-8999-FB8127642B22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5C5CA665-176C-4B90-BD4B-177D7940706E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13D0FCD-2278-4635-9F6C-D7229CD4ECF8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AFB2C3D4-35B7-462B-8089-73F3BBCE9D6E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010E5C47-B9FB-4467-8231-94F268314D87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59A0BBC8-6B4E-4294-8489-C3B13078233D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C8188587-7AAE-4EB5-BBE0-0069077CC17A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C9E1F2DA-ADE3-4040-B169-5F148907AE21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18051B7B-12D9-4209-A4BE-743B47B28F67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DF527244-F7D5-4253-B47F-CBC6DE1CF9D6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C1369A8B-E884-411B-A61E-B1B3DC353EE6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51E17D74-FDD9-453A-8A6C-504014762EC8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E0256B50-127E-4644-B26E-692D4718B033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8EE97607-4AAA-417A-A53C-F67D59F451F3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9EFAA259-6150-4C07-BA76-6380F4284B1A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C7AE7D83-ADAB-4D24-BA2A-3609E562452B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3C9F99FF-F89B-4C13-9B6E-A7E04882DD1A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A633373C-2DA0-4FF6-ADFE-756F0109B038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4AAEE174-B34A-46DD-9889-1A69A0921093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8051874B-8A52-434F-A226-415606A9BECC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E082505A-2331-48A1-AFDF-16FBFEE7BD2E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01146F72-39E2-4C54-A219-A2A4A5D75DE4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652CF361-E4B3-4173-BC68-C032680BF04A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51A4F1A6-9353-45C8-BBEC-C636A012F5D2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84D4FAC5-D1B0-459C-AEEA-0EECA4BC2CB6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D539C3C-B7D4-470A-B9D7-79B983C8E05F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F1477ACB-A28F-4257-BD46-3FC2CDD5EA4F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94F9D059-AF4B-4873-B472-4666C4C51A4A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3BD6029E-1017-48A4-B41D-2B26AA4D503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082A89A4-EB2B-4D82-ACA7-2E30A5DB086D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6DD351D8-EF6C-4099-8FE7-3F0620EADFC5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3982575B-5947-48D6-B7E8-39CEA7E37570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B6876428-D5D2-4422-99EB-B20C0EE93F18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C1B8AEA-453E-4A37-A0CE-580BD054D588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CEB3A037-32E0-4431-97B2-175190C92CAF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3D1AA971-9416-4D0F-8911-180908814F84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4C58A2C-544B-4263-B841-730D44B69883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4CE74E46-1527-41C9-9682-23EC7A90A863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18BDFB37-A173-46C1-BD11-422A4F727EA6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2F74E42C-4151-4FD0-8766-A6836F0CFC37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E6ADB35-78CB-4D1B-9E33-35C776E87142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5D2886C6-1E6C-485B-B029-EC91FDC611FE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1A85F0BA-E362-4537-9A09-B10418FC7E71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0767C3ED-93D6-4C3E-8AD9-1E5A3C34FFB0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76A6D61-17A2-4921-873C-CD50D8AA722A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C4482E08-C200-4C7D-9751-F17699C4C91A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FE777CC4-6CDD-47D9-A526-C9689EDA2049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D0BEF2C9-3131-4AB4-8556-88880BF96417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178E61CD-E17F-4D27-84AB-D2A0512C6CA2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5F0DF746-670B-44D0-A1C6-C6C64DAAFFDC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0A33DB-7297-4C62-A524-029CEF03DD01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85232CF4-12F1-4B54-8085-893E375917A4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1DFDD84E-7613-4138-A3F9-CF2D8A093B2A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C918D52F-5FDF-4D81-B074-3B116E65EEE3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C2CC7A60-EEEE-45B2-9794-D47886B13ECF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3E1343E-C130-4590-BD47-F02A618F250E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DC84DD54-E22B-4DB1-AF9C-21C431D2BB0A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4AD4146C-0B4C-43FA-8705-34DF25FEE9C2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6669F627-838E-4F8B-9F04-60B06F45F3BC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F8B3F745-0BF0-429D-80F6-B41A221D66A3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0E6A3547-D82C-4808-8939-54951BB95222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C4B70A31-2EEA-4F3D-AEB8-54C34745192E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911086EF-0E99-4B92-9E41-E1A647896FBD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01D0DA26-69A4-4C96-9858-332E34C9288C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76944146-A5AD-4DEB-B9C7-C731072DE83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A615AB3B-2DFE-41E6-AD50-621E48C300A6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F941E7-8456-4C61-B817-4619FB057D55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A477FA4-6266-4E14-9E9E-A7C0481ECDAE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4D618935-5355-4361-8062-2A3381481EB8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41F39ABD-5EF6-4D91-8CAE-917006753F6F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8291912A-9BED-47F9-A7C2-8A8D5FFD756B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440DACC7-5DB7-4E18-A65E-07C36A9E947F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1EB41451-FC39-42BF-931F-3B79FAE98836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8DC0FC0C-8CBE-44D1-9712-B8C6C778D4EB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90EDB17D-BE1A-4745-B5BA-F3790CECD9ED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833742A-771D-490B-B405-41493D6E87D9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C03EF08E-8181-4215-9EB7-C9DC2A4E09F3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43FF120-2BE4-4BF6-A48F-926607684AF9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82506768-7FFF-42C9-A95F-3C098722EC49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6E38700A-29D9-4A1F-8184-9C63963CA0B7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E636B4C9-B461-42F0-A747-CDEADDB1FA9D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B915D4D6-8896-46ED-9BF4-6E4C0CBAF1C9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6CCD65C3-F76B-4C2F-8CEB-AA673F758789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A1ED2AF8-5CB0-4315-9ADE-B9492ECBAD0E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A39D36FE-87C8-4942-B8E1-71EABCC978F8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69D1A1A2-1EEA-495C-B73F-E2B8D839D731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263958F9-D8AE-4846-A68D-AEDAEEEC17A9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01294AB6-B9C1-4DB7-8FA6-C41624F49843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89CAAEC2-75C8-41E9-BE36-1994B60736B0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E068FBD8-A7CA-43B3-B8C1-E81FFA5F4DFB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5109E926-7F66-4ED8-8E80-76E1194D3C15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813AF702-A6F1-4262-8402-40B29D935383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CF1E6FFD-9531-44B4-8F04-F5BC7DC0F21C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16B86864-0E00-4853-BA3A-30F95927AC6C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54FF2AB3-293E-4B4B-B4A7-3949297773CB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4AF053D7-1D55-4E60-95C8-FF6747F3FE63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B2377642-38EC-40CE-A7CE-7F608334A729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533CF2D2-E92D-400A-97F1-F410A79E4A4B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B80AFD3D-010B-4F69-A17E-827F12B6FAFD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A52862CD-FD5D-40F2-8072-839A128AD57A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CFAEDA53-FD8D-4929-AA1A-E4B7C9098CB5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BAA88237-0002-456C-B9F7-604CAF59C803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9D7C8CFB-0F51-4AD3-82CF-1D6F4F5D8C02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78CB68B3-BD9F-4302-9A1A-F8BBF5C6453F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C4C5F79D-3567-4F2D-80E4-32D56A5B903A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2495FF0D-5D0F-4F18-9385-4CE788070BD0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08225597-07D6-4625-95C8-4B14FAB0F9AF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E3E038E9-4399-4E55-8C1C-E8D0BEECC0A5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52B5749C-7659-47D6-B4DC-A2F00ADFA845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744AF20-C803-4FBF-9B5F-3A253DE23ABC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A80B69EB-E68A-4465-BCBA-D38DDE305E63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1A927309-8F79-4ADD-B959-D6A2E700806B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sharedStrings.xml><?xml version="1.0" encoding="utf-8"?>
<sst xmlns="http://schemas.openxmlformats.org/spreadsheetml/2006/main" count="909" uniqueCount="599">
  <si>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</si>
  <si>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</si>
  <si>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</si>
  <si>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</si>
  <si>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</si>
  <si>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</si>
  <si>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</si>
  <si>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</si>
  <si>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</si>
  <si>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</si>
  <si>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</si>
  <si>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</si>
  <si>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</si>
  <si>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</si>
  <si>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</si>
  <si>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</si>
  <si>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</si>
  <si>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</si>
  <si>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</si>
  <si>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</si>
  <si>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</si>
  <si>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</si>
  <si>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</si>
  <si>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</si>
  <si>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</si>
  <si>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</si>
  <si>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</si>
  <si>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</si>
  <si>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</si>
  <si>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</si>
  <si>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</si>
  <si>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</si>
  <si>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</si>
  <si>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</si>
  <si>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</si>
  <si>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</si>
  <si>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</si>
  <si>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</si>
  <si>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</si>
  <si>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</si>
  <si>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</si>
  <si>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</si>
  <si>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</si>
  <si>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</si>
  <si>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</si>
  <si>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</si>
  <si>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</si>
  <si>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</si>
  <si>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</si>
  <si>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</si>
  <si>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</si>
  <si>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</si>
  <si>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</si>
  <si>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</si>
  <si>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</si>
  <si>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</si>
  <si>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</si>
  <si>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</si>
  <si>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</si>
  <si>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</si>
  <si>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</si>
  <si>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</si>
  <si>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</si>
  <si>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</si>
  <si>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</si>
  <si>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</si>
  <si>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</si>
  <si>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</si>
  <si>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</si>
  <si>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</si>
  <si>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</si>
  <si>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</si>
  <si>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</si>
  <si>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</si>
  <si>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</si>
  <si>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</si>
  <si>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</si>
  <si>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</si>
  <si>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</si>
  <si>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</si>
  <si>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</si>
  <si>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</si>
  <si>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</si>
  <si>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</si>
  <si>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</si>
  <si>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</si>
  <si>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</si>
  <si>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</si>
  <si>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</si>
  <si>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</si>
  <si>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</si>
  <si>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</si>
  <si>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</si>
  <si>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</si>
  <si>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</si>
  <si>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</si>
  <si>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</si>
  <si>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</si>
  <si>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</si>
  <si>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</si>
  <si>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</si>
  <si>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</si>
  <si>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</si>
  <si>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</si>
  <si>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</si>
  <si>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</si>
  <si>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</si>
  <si>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</si>
  <si>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</si>
  <si>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</si>
  <si>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</si>
  <si>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</si>
  <si>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</si>
  <si>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</si>
  <si>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</si>
  <si>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</si>
  <si>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</si>
  <si>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</si>
  <si>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</si>
  <si>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</si>
  <si>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</si>
  <si>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</si>
  <si>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</si>
  <si>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</si>
  <si>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</si>
  <si>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</si>
  <si>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</si>
  <si>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</si>
  <si>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</si>
  <si>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</si>
  <si>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</si>
  <si>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</si>
  <si>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</si>
  <si>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</si>
  <si>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</si>
  <si>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</si>
  <si>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</si>
  <si>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</si>
  <si>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</si>
  <si>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</si>
  <si>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</si>
  <si>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</si>
  <si>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</si>
  <si>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</si>
  <si>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</si>
  <si>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</si>
  <si>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</si>
  <si>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</si>
  <si>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</si>
  <si>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</si>
  <si>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</si>
  <si>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</si>
  <si>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</si>
  <si>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</si>
  <si>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</si>
  <si>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</si>
  <si>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</si>
  <si>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</si>
  <si>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</si>
  <si>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</si>
  <si>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</si>
  <si>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</si>
  <si>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</si>
  <si>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</si>
  <si>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</si>
  <si>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</si>
  <si>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</si>
  <si>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</si>
  <si>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</si>
  <si>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</si>
  <si>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</si>
  <si>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</si>
  <si>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</si>
  <si>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</si>
  <si>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</si>
  <si>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</si>
  <si>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</si>
  <si>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</si>
  <si>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</si>
  <si>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</si>
  <si>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</si>
  <si>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</si>
  <si>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</si>
  <si>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</si>
  <si>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</si>
  <si>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</si>
  <si>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</si>
  <si>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</si>
  <si>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</si>
  <si>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</si>
  <si>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</si>
  <si>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</si>
  <si>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</si>
  <si>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</si>
  <si>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</si>
  <si>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</si>
  <si>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</si>
  <si>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</si>
  <si>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</si>
  <si>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</si>
  <si>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</si>
  <si>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</si>
  <si>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</si>
  <si>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</si>
  <si>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</si>
  <si>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</si>
  <si>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</si>
  <si>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</si>
  <si>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</si>
  <si>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</si>
  <si>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</si>
  <si>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</si>
  <si>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</si>
  <si>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</si>
  <si>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</si>
  <si>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</si>
  <si>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</si>
  <si>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</si>
  <si>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</si>
  <si>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</si>
  <si>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</si>
  <si>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</si>
  <si>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</si>
  <si>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</si>
  <si>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</si>
  <si>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</si>
  <si>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</si>
  <si>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</si>
  <si>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</si>
  <si>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</si>
  <si>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</si>
  <si>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</si>
  <si>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</si>
  <si>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</si>
  <si>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</si>
  <si>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</si>
  <si>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</si>
  <si>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</si>
  <si>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</si>
  <si>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</si>
  <si>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</si>
  <si>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</si>
  <si>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</si>
  <si>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</si>
  <si>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</si>
  <si>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</si>
  <si>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</si>
  <si>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</si>
  <si>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</si>
  <si>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</si>
  <si>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</si>
  <si>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</si>
  <si>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</si>
  <si>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</si>
  <si>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</si>
  <si>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</si>
  <si>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</si>
  <si>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</si>
  <si>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</si>
  <si>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</si>
  <si>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</si>
  <si>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</si>
  <si>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</si>
  <si>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</si>
  <si>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</si>
  <si>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</si>
  <si>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</si>
  <si>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</si>
  <si>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</si>
  <si>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</si>
  <si>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</si>
  <si>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</si>
  <si>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</si>
  <si>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</si>
  <si>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</si>
  <si>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</si>
  <si>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</si>
  <si>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</si>
  <si>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</si>
  <si>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</si>
  <si>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</si>
  <si>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</si>
  <si>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</si>
  <si>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</si>
  <si>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</si>
  <si>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</si>
  <si>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</si>
  <si>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</si>
  <si>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</si>
  <si>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</si>
  <si>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</si>
  <si>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</si>
  <si>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</si>
  <si>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</si>
  <si>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</si>
  <si>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</si>
  <si>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</si>
  <si>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</si>
  <si>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</si>
  <si>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</si>
  <si>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</si>
  <si>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</si>
  <si>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</si>
  <si>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</si>
  <si>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</si>
  <si>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</si>
  <si>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</si>
  <si>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</si>
  <si>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</si>
  <si>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</si>
  <si>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</si>
  <si>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</si>
  <si>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</si>
  <si>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</si>
  <si>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</si>
  <si>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</si>
  <si>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</si>
  <si>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</si>
  <si>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</si>
  <si>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</si>
  <si>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</si>
  <si>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</si>
  <si>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</si>
  <si>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</si>
  <si>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</si>
  <si>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</si>
  <si>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</si>
  <si>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</si>
  <si>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</si>
  <si>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</si>
  <si>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</si>
  <si>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</si>
  <si>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</si>
  <si>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</si>
  <si>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</si>
  <si>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</si>
  <si>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</si>
  <si>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</si>
  <si>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</si>
  <si>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</si>
  <si>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</si>
  <si>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</si>
  <si>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</si>
  <si>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</si>
  <si>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</si>
  <si>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</si>
  <si>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</si>
  <si>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</si>
  <si>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</si>
  <si>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</si>
  <si>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</si>
  <si>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</si>
  <si>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</si>
  <si>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</si>
  <si>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</si>
  <si>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</si>
  <si>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</si>
  <si>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</si>
  <si>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</si>
  <si>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</si>
  <si>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</si>
  <si>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</si>
  <si>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</si>
  <si>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</si>
  <si>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</si>
  <si>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</si>
  <si>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</si>
  <si>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</si>
  <si>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</si>
  <si>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</si>
  <si>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</si>
  <si>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</si>
  <si>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</si>
  <si>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</si>
  <si>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</si>
  <si>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</si>
  <si>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</si>
  <si>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</si>
  <si>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</si>
  <si>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</si>
  <si>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</si>
  <si>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</si>
  <si>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</si>
  <si>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</si>
  <si>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</si>
  <si>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</si>
  <si>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</si>
  <si>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</si>
  <si>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</si>
  <si>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</si>
  <si>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</si>
  <si>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</si>
  <si>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</si>
  <si>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</si>
  <si>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</si>
  <si>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</si>
  <si>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</si>
  <si>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</si>
  <si>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</si>
  <si>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</si>
  <si>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</si>
  <si>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</si>
  <si>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</si>
  <si>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</si>
  <si>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</si>
  <si>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</si>
  <si>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</si>
  <si>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</si>
  <si>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</si>
  <si>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</si>
  <si>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</si>
  <si>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</si>
  <si>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</si>
  <si>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</si>
  <si>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</si>
  <si>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</si>
  <si>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</si>
  <si>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</si>
  <si>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</si>
  <si>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</si>
  <si>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</si>
  <si>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</si>
  <si>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</si>
  <si>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</si>
  <si>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</si>
  <si>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</si>
  <si>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</si>
  <si>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</si>
  <si>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</si>
  <si>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</si>
  <si>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</si>
  <si>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</si>
  <si>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</si>
  <si>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</si>
  <si>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</si>
  <si>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</si>
  <si>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</si>
  <si>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</si>
  <si>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</si>
  <si>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</si>
  <si>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</si>
  <si>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</si>
  <si>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</si>
  <si>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</si>
  <si>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</si>
  <si>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</si>
  <si>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</si>
  <si>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</si>
  <si>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</si>
  <si>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</si>
  <si>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</si>
  <si>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</si>
  <si>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</si>
  <si>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</si>
  <si>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</si>
  <si>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</si>
  <si>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</si>
  <si>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</si>
  <si>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</si>
  <si>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</si>
  <si>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</si>
  <si>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</si>
  <si>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</si>
  <si>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</si>
  <si>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</si>
  <si>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</si>
  <si>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</si>
  <si>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</si>
  <si>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</si>
  <si>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</si>
  <si>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</si>
  <si>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</si>
  <si>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</si>
  <si>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</si>
  <si>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</si>
  <si>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</si>
  <si>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</si>
  <si>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</si>
  <si>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</si>
  <si>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</si>
  <si>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</si>
  <si>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</si>
  <si>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</si>
  <si>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</si>
  <si>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</si>
  <si>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</si>
  <si>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</si>
  <si>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</si>
  <si>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</si>
  <si>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</si>
  <si>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</si>
  <si>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</si>
  <si>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</si>
  <si>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</si>
  <si>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</si>
  <si>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</si>
  <si>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</si>
  <si>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</si>
  <si>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</si>
  <si>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</si>
  <si>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</si>
  <si>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</si>
  <si>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</si>
  <si>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</si>
  <si>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</si>
  <si>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</si>
  <si>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</si>
  <si>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</si>
  <si>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</si>
  <si>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</si>
  <si>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</si>
  <si>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</si>
  <si>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</si>
  <si>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</si>
  <si>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</si>
  <si>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</si>
  <si>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</si>
  <si>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</si>
  <si>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</si>
  <si>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</si>
  <si>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</si>
  <si>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</si>
  <si>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</si>
  <si>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</si>
  <si>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</si>
  <si>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</si>
  <si>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</si>
  <si>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</si>
  <si>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</si>
  <si>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</si>
  <si>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</si>
  <si>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</si>
  <si>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</si>
  <si>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</si>
  <si>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</si>
  <si>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</si>
  <si>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</si>
  <si>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</si>
  <si>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</si>
  <si>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</si>
  <si>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</si>
  <si>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</si>
  <si>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</si>
  <si>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</si>
  <si>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</si>
  <si>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</si>
  <si>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</si>
  <si>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</si>
  <si>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</si>
  <si>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</si>
  <si>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</si>
  <si>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</si>
  <si>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</si>
  <si>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</si>
  <si>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</si>
  <si>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</si>
  <si>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</si>
  <si>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magic_projectile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</si>
  <si>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</si>
  <si>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</si>
  <si>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</si>
  <si>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</si>
  <si>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</si>
  <si>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</si>
  <si>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</si>
  <si>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</si>
  <si>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</si>
  <si>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</si>
  <si>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</si>
  <si>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</si>
  <si>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</si>
  <si>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</si>
  <si>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</si>
  <si>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</si>
  <si>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</si>
  <si>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</si>
  <si>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</si>
  <si>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</si>
  <si>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</si>
  <si>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</si>
  <si>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</si>
  <si>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The k value in armor formula: armor/(armor+k*level)</t>
  </si>
  <si>
    <t>default_crit_multiplier</t>
  </si>
  <si>
    <t>Base crit damage multiplier %</t>
  </si>
  <si>
    <t>player_move_speed</t>
  </si>
  <si>
    <t>Default player movement speed</t>
  </si>
  <si>
    <t>player_dodge_speed</t>
  </si>
  <si>
    <t>Dodge roll speed</t>
  </si>
  <si>
    <t>player_dodge_duration</t>
  </si>
  <si>
    <t>Dodge roll duration in seconds</t>
  </si>
  <si>
    <t>player_dodge_stamina_cost</t>
  </si>
  <si>
    <t>Stamina cost for dodge</t>
  </si>
  <si>
    <t>player_attack_lunge_force</t>
  </si>
  <si>
    <t>Default attack lunge force</t>
  </si>
  <si>
    <t>player_attack_lunge_duration</t>
  </si>
  <si>
    <t>Default attack lunge duration</t>
  </si>
  <si>
    <t>#66401A</t>
  </si>
  <si>
    <t>#E66619</t>
  </si>
  <si>
    <t>#E6E6CC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</si>
</sst>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opLeftCell="A13" workbookViewId="0">
      <selection activeCell="U29" sqref="U2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520</v>
      </c>
      <c r="F1" s="1" t="s">
        <v>521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541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  <c r="R2" t="s">
        <v>543</v>
      </c>
    </row>
    <row r="3" spans="1:18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  <c r="R3" t="s">
        <v>543</v>
      </c>
    </row>
    <row r="4" spans="1:18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  <c r="R4" t="s">
        <v>543</v>
      </c>
    </row>
    <row r="5" spans="1:18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  <c r="R5" t="s">
        <v>120</v>
      </c>
    </row>
    <row r="6" spans="1:18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  <c r="R6" t="s">
        <v>421</v>
      </c>
    </row>
    <row r="7" spans="1:18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8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8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8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8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8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8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8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8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8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autoFilter ref="A1:J1" xr:uid="{361C536A-34A6-4079-BFC1-9E6BF692E1F1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topLeftCell="C1" workbookViewId="0">
      <selection activeCell="V21" sqref="V21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  <c r="V1" s="1" t="s">
        <v>572</v>
      </c>
    </row>
    <row r="2" spans="1:22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  <c r="V2">
        <v>0</v>
      </c>
    </row>
    <row r="3" spans="1:22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  <c r="V3">
        <v>0</v>
      </c>
    </row>
    <row r="4" spans="1:22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  <c r="V4">
        <v>0</v>
      </c>
    </row>
    <row r="5" spans="1:22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  <c r="V5">
        <v>0</v>
      </c>
    </row>
    <row r="6" spans="1:22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  <c r="V6">
        <v>0</v>
      </c>
    </row>
    <row r="7" spans="1:22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  <c r="V7">
        <v>0</v>
      </c>
    </row>
    <row r="8" spans="1:22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  <c r="V8">
        <v>0</v>
      </c>
    </row>
    <row r="9" spans="1:22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  <c r="V9">
        <v>0</v>
      </c>
    </row>
    <row r="10" spans="1:22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578</v>
      </c>
      <c r="M1" s="1" t="s">
        <v>11</v>
      </c>
    </row>
    <row r="2" spans="1:13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596</v>
      </c>
    </row>
    <row r="3" spans="1:13" x14ac:dyDescent="0.35">
      <c r="A3" t="s">
        <v>560</v>
      </c>
      <c r="B3" t="s">
        <v>561</v>
      </c>
      <c r="C3" t="s">
        <v>434</v>
      </c>
      <c r="D3" t="s">
        <v>435</v>
      </c>
      <c r="E3">
        <v>-5</v>
      </c>
      <c r="F3">
        <v>3</v>
      </c>
      <c r="G3" t="s">
        <v>356</v>
      </c>
      <c r="H3" t="s">
        <v>562</v>
      </c>
      <c r="I3" t="s">
        <v>437</v>
      </c>
      <c r="J3">
        <v>1</v>
      </c>
      <c r="K3" t="s">
        <v>220</v>
      </c>
      <c r="L3" t="s">
        <v>597</v>
      </c>
    </row>
    <row r="4" spans="1:13" x14ac:dyDescent="0.35">
      <c r="A4" t="s">
        <v>563</v>
      </c>
      <c r="B4" t="s">
        <v>564</v>
      </c>
      <c r="C4" t="s">
        <v>565</v>
      </c>
      <c r="D4" t="s">
        <v>435</v>
      </c>
      <c r="E4">
        <v>10</v>
      </c>
      <c r="F4">
        <v>30</v>
      </c>
      <c r="G4">
        <v>2</v>
      </c>
      <c r="H4" t="s">
        <v>566</v>
      </c>
      <c r="I4" t="s">
        <v>272</v>
      </c>
      <c r="J4">
        <v>1</v>
      </c>
      <c r="K4" t="s">
        <v>271</v>
      </c>
      <c r="L4" t="s">
        <v>598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465</v>
      </c>
      <c r="C4" s="3" t="s">
        <v>235</v>
      </c>
      <c r="D4" s="3">
        <v>1</v>
      </c>
      <c r="E4" s="3">
        <v>10</v>
      </c>
      <c r="F4" s="3" t="s">
        <v>466</v>
      </c>
      <c r="G4" s="4" t="s">
        <v>467</v>
      </c>
      <c r="H4">
        <v>60</v>
      </c>
      <c r="I4" t="s">
        <v>468</v>
      </c>
      <c r="J4" t="s">
        <v>469</v>
      </c>
      <c r="K4" t="s">
        <v>272</v>
      </c>
      <c r="L4" t="s">
        <v>272</v>
      </c>
      <c r="N4" t="s">
        <v>271</v>
      </c>
      <c r="O4" t="s">
        <v>470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464</v>
      </c>
      <c r="E1" s="1" t="s">
        <v>460</v>
      </c>
      <c r="F1" s="1" t="s">
        <v>461</v>
      </c>
      <c r="G1" s="1" t="s">
        <v>462</v>
      </c>
      <c r="H1" s="1" t="s">
        <v>93</v>
      </c>
      <c r="I1" s="1" t="s">
        <v>459</v>
      </c>
      <c r="J1" s="1" t="s">
        <v>463</v>
      </c>
      <c r="K1" s="1" t="s">
        <v>11</v>
      </c>
    </row>
    <row r="2" spans="1:11" x14ac:dyDescent="0.35">
      <c r="A2" t="s">
        <v>471</v>
      </c>
      <c r="B2" t="s">
        <v>237</v>
      </c>
      <c r="C2" t="s">
        <v>472</v>
      </c>
      <c r="D2" t="s">
        <v>473</v>
      </c>
      <c r="I2" t="s">
        <v>474</v>
      </c>
      <c r="J2" t="s">
        <v>271</v>
      </c>
      <c r="K2" t="s">
        <v>475</v>
      </c>
    </row>
    <row r="3" spans="1:11" x14ac:dyDescent="0.35">
      <c r="A3" t="s">
        <v>476</v>
      </c>
      <c r="B3" t="s">
        <v>237</v>
      </c>
      <c r="C3" t="s">
        <v>477</v>
      </c>
      <c r="D3" t="s">
        <v>473</v>
      </c>
      <c r="H3" t="s">
        <v>478</v>
      </c>
      <c r="I3" t="s">
        <v>479</v>
      </c>
      <c r="J3" t="s">
        <v>271</v>
      </c>
      <c r="K3" t="s">
        <v>480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25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526</v>
      </c>
    </row>
    <row r="3" spans="1:4" x14ac:dyDescent="0.35">
      <c r="A3" t="s">
        <v>527</v>
      </c>
    </row>
    <row r="4" spans="1:4" x14ac:dyDescent="0.35">
      <c r="A4" t="s">
        <v>528</v>
      </c>
    </row>
    <row r="5" spans="1:4" x14ac:dyDescent="0.35">
      <c r="A5" t="s">
        <v>529</v>
      </c>
    </row>
    <row r="6" spans="1:4" x14ac:dyDescent="0.35">
      <c r="A6" t="s">
        <v>530</v>
      </c>
    </row>
    <row r="7" spans="1:4" x14ac:dyDescent="0.35">
      <c r="A7" t="s">
        <v>531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114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440</v>
      </c>
      <c r="D1" s="1" t="s">
        <v>441</v>
      </c>
      <c r="E1" s="1" t="s">
        <v>442</v>
      </c>
      <c r="F1" s="1" t="s">
        <v>443</v>
      </c>
    </row>
    <row r="2" spans="1:6" x14ac:dyDescent="0.35">
      <c r="A2" t="s">
        <v>447</v>
      </c>
      <c r="B2" t="s">
        <v>444</v>
      </c>
      <c r="C2" t="s">
        <v>445</v>
      </c>
      <c r="D2" t="s">
        <v>238</v>
      </c>
      <c r="E2" t="s">
        <v>271</v>
      </c>
      <c r="F2" t="s">
        <v>446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D214ED7F-4A91-4828-8B2F-6B83B5A01A2E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CFA229E-7E27-494E-BAC6-CE0FB02F3DED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448</v>
      </c>
      <c r="C1" s="1" t="s">
        <v>449</v>
      </c>
      <c r="D1" s="1" t="s">
        <v>450</v>
      </c>
      <c r="E1" s="1" t="s">
        <v>451</v>
      </c>
      <c r="F1" s="1" t="s">
        <v>452</v>
      </c>
      <c r="G1" s="1" t="s">
        <v>319</v>
      </c>
      <c r="H1" s="1" t="s">
        <v>453</v>
      </c>
      <c r="I1" s="1" t="s">
        <v>35</v>
      </c>
      <c r="J1" s="1" t="s">
        <v>61</v>
      </c>
      <c r="K1" s="1" t="s">
        <v>454</v>
      </c>
    </row>
    <row r="2" spans="1:11" x14ac:dyDescent="0.35">
      <c r="A2" t="s">
        <v>455</v>
      </c>
      <c r="B2" t="s">
        <v>445</v>
      </c>
      <c r="C2" t="s">
        <v>458</v>
      </c>
      <c r="D2" t="s">
        <v>456</v>
      </c>
      <c r="F2" t="s">
        <v>133</v>
      </c>
      <c r="G2">
        <v>5</v>
      </c>
      <c r="H2" t="s">
        <v>457</v>
      </c>
      <c r="I2">
        <v>120</v>
      </c>
      <c r="J2">
        <v>3</v>
      </c>
      <c r="K2">
        <v>1</v>
      </c>
    </row>
    <row r="3" spans="1:11" x14ac:dyDescent="0.35">
      <c r="A3" t="s">
        <v>481</v>
      </c>
      <c r="B3" t="s">
        <v>482</v>
      </c>
      <c r="C3" t="s">
        <v>483</v>
      </c>
      <c r="D3" t="s">
        <v>484</v>
      </c>
      <c r="F3" t="s">
        <v>356</v>
      </c>
      <c r="G3">
        <v>5</v>
      </c>
      <c r="H3" t="s">
        <v>485</v>
      </c>
      <c r="I3">
        <v>120</v>
      </c>
      <c r="J3">
        <v>4</v>
      </c>
      <c r="K3">
        <v>1</v>
      </c>
    </row>
    <row r="4" spans="1:11" x14ac:dyDescent="0.35">
      <c r="A4" t="s">
        <v>486</v>
      </c>
      <c r="B4" t="s">
        <v>482</v>
      </c>
      <c r="C4" t="s">
        <v>483</v>
      </c>
      <c r="D4" t="s">
        <v>497</v>
      </c>
      <c r="F4" t="s">
        <v>356</v>
      </c>
      <c r="G4">
        <v>5</v>
      </c>
      <c r="H4" t="s">
        <v>485</v>
      </c>
      <c r="I4">
        <v>120</v>
      </c>
      <c r="J4">
        <v>4</v>
      </c>
      <c r="K4">
        <v>1</v>
      </c>
    </row>
    <row r="5" spans="1:11" x14ac:dyDescent="0.35">
      <c r="A5" t="s">
        <v>487</v>
      </c>
      <c r="B5" t="s">
        <v>482</v>
      </c>
      <c r="C5" t="s">
        <v>483</v>
      </c>
      <c r="D5" t="s">
        <v>488</v>
      </c>
      <c r="F5" t="s">
        <v>356</v>
      </c>
      <c r="G5">
        <v>5</v>
      </c>
      <c r="H5" t="s">
        <v>485</v>
      </c>
      <c r="I5">
        <v>120</v>
      </c>
      <c r="J5">
        <v>4</v>
      </c>
      <c r="K5">
        <v>1</v>
      </c>
    </row>
    <row r="6" spans="1:11" x14ac:dyDescent="0.35">
      <c r="A6" t="s">
        <v>489</v>
      </c>
      <c r="B6" t="s">
        <v>482</v>
      </c>
      <c r="C6" t="s">
        <v>490</v>
      </c>
      <c r="D6" t="s">
        <v>491</v>
      </c>
      <c r="F6" t="s">
        <v>356</v>
      </c>
      <c r="G6">
        <v>5</v>
      </c>
      <c r="H6" t="s">
        <v>485</v>
      </c>
      <c r="I6">
        <v>120</v>
      </c>
      <c r="J6">
        <v>4</v>
      </c>
      <c r="K6">
        <v>1</v>
      </c>
    </row>
    <row r="7" spans="1:11" x14ac:dyDescent="0.35">
      <c r="A7" t="s">
        <v>492</v>
      </c>
      <c r="B7" t="s">
        <v>482</v>
      </c>
      <c r="C7" t="s">
        <v>490</v>
      </c>
      <c r="D7" t="s">
        <v>498</v>
      </c>
      <c r="F7" t="s">
        <v>356</v>
      </c>
      <c r="G7">
        <v>5</v>
      </c>
      <c r="H7" t="s">
        <v>485</v>
      </c>
      <c r="I7">
        <v>120</v>
      </c>
      <c r="J7">
        <v>4</v>
      </c>
      <c r="K7">
        <v>1</v>
      </c>
    </row>
    <row r="8" spans="1:11" x14ac:dyDescent="0.35">
      <c r="A8" t="s">
        <v>493</v>
      </c>
      <c r="B8" t="s">
        <v>482</v>
      </c>
      <c r="C8" t="s">
        <v>490</v>
      </c>
      <c r="D8" t="s">
        <v>494</v>
      </c>
      <c r="F8" t="s">
        <v>356</v>
      </c>
      <c r="G8">
        <v>5</v>
      </c>
      <c r="H8" t="s">
        <v>485</v>
      </c>
      <c r="I8">
        <v>120</v>
      </c>
      <c r="J8">
        <v>4</v>
      </c>
      <c r="K8">
        <v>1</v>
      </c>
    </row>
    <row r="9" spans="1:11" x14ac:dyDescent="0.35">
      <c r="A9" t="s">
        <v>495</v>
      </c>
      <c r="B9" t="s">
        <v>482</v>
      </c>
      <c r="C9" t="s">
        <v>490</v>
      </c>
      <c r="D9" t="s">
        <v>496</v>
      </c>
      <c r="F9" t="s">
        <v>356</v>
      </c>
      <c r="G9">
        <v>5</v>
      </c>
      <c r="H9" t="s">
        <v>485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448</v>
      </c>
      <c r="C1" s="1" t="s">
        <v>449</v>
      </c>
      <c r="D1" s="1" t="s">
        <v>499</v>
      </c>
      <c r="E1" s="1" t="s">
        <v>500</v>
      </c>
      <c r="F1" s="1" t="s">
        <v>501</v>
      </c>
      <c r="G1" s="1" t="s">
        <v>61</v>
      </c>
      <c r="H1" s="1" t="s">
        <v>319</v>
      </c>
      <c r="I1" s="1" t="s">
        <v>502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509</v>
      </c>
      <c r="B2" t="s">
        <v>510</v>
      </c>
      <c r="C2" t="s">
        <v>511</v>
      </c>
      <c r="D2" t="s">
        <v>509</v>
      </c>
    </row>
    <row r="3" spans="1:4" x14ac:dyDescent="0.35">
      <c r="A3" t="s">
        <v>512</v>
      </c>
      <c r="B3" t="s">
        <v>513</v>
      </c>
      <c r="C3" t="s">
        <v>514</v>
      </c>
      <c r="D3" t="s">
        <v>512</v>
      </c>
    </row>
    <row r="4" spans="1:4" x14ac:dyDescent="0.35">
      <c r="A4" t="s">
        <v>515</v>
      </c>
      <c r="B4" t="s">
        <v>516</v>
      </c>
      <c r="C4" t="s">
        <v>517</v>
      </c>
      <c r="D4" t="s">
        <v>515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P5"/>
  <sheetViews>
    <sheetView tabSelected="1" topLeftCell="L1" workbookViewId="0">
      <selection activeCell="AN10" sqref="AN10"/>
    </sheetView>
  </sheetViews>
  <sheetFormatPr defaultRowHeight="14.5" x14ac:dyDescent="0.35"/>
  <cols>
    <col min="1" max="31" width="11.90625" customWidth="1"/>
    <col min="34" max="34" width="10.6328125" customWidth="1"/>
    <col min="41" max="41" width="10.6328125" customWidth="1"/>
  </cols>
  <sheetData>
    <row r="1" spans="1:42" x14ac:dyDescent="0.35">
      <c r="A1" s="1" t="s">
        <v>0</v>
      </c>
      <c r="B1" s="1" t="s">
        <v>1</v>
      </c>
      <c r="C1" s="1" t="s">
        <v>52</v>
      </c>
      <c r="D1" s="1" t="s">
        <v>503</v>
      </c>
      <c r="E1" s="1" t="s">
        <v>504</v>
      </c>
      <c r="F1" s="1" t="s">
        <v>505</v>
      </c>
      <c r="G1" s="1" t="s">
        <v>12</v>
      </c>
      <c r="H1" s="1" t="s">
        <v>522</v>
      </c>
      <c r="I1" s="1" t="s">
        <v>532</v>
      </c>
      <c r="J1" s="1" t="s">
        <v>523</v>
      </c>
      <c r="K1" s="1" t="s">
        <v>524</v>
      </c>
      <c r="L1" s="1" t="s">
        <v>34</v>
      </c>
      <c r="M1" s="1" t="s">
        <v>533</v>
      </c>
      <c r="N1" s="1" t="s">
        <v>534</v>
      </c>
      <c r="O1" s="1" t="s">
        <v>535</v>
      </c>
      <c r="P1" s="1" t="s">
        <v>536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525</v>
      </c>
      <c r="W1" s="1" t="s">
        <v>58</v>
      </c>
      <c r="X1" s="1" t="s">
        <v>59</v>
      </c>
      <c r="Y1" s="1" t="s">
        <v>506</v>
      </c>
      <c r="Z1" s="1" t="s">
        <v>61</v>
      </c>
      <c r="AA1" s="1" t="s">
        <v>507</v>
      </c>
      <c r="AB1" s="1" t="s">
        <v>11</v>
      </c>
      <c r="AC1" s="1" t="s">
        <v>508</v>
      </c>
      <c r="AD1" s="1" t="s">
        <v>63</v>
      </c>
      <c r="AE1" s="1" t="s">
        <v>542</v>
      </c>
      <c r="AF1" s="1" t="s">
        <v>548</v>
      </c>
      <c r="AG1" s="1" t="s">
        <v>549</v>
      </c>
      <c r="AH1" s="1" t="s">
        <v>550</v>
      </c>
      <c r="AI1" s="1" t="s">
        <v>551</v>
      </c>
      <c r="AJ1" s="1" t="s">
        <v>552</v>
      </c>
      <c r="AK1" s="1" t="s">
        <v>553</v>
      </c>
      <c r="AL1" s="1" t="s">
        <v>322</v>
      </c>
      <c r="AM1" s="1" t="s">
        <v>573</v>
      </c>
      <c r="AN1" s="1" t="s">
        <v>574</v>
      </c>
      <c r="AO1" s="1" t="s">
        <v>575</v>
      </c>
      <c r="AP1" s="1" t="s">
        <v>572</v>
      </c>
    </row>
    <row r="2" spans="1:42" x14ac:dyDescent="0.35">
      <c r="A2" t="s">
        <v>537</v>
      </c>
      <c r="B2" t="s">
        <v>538</v>
      </c>
      <c r="D2">
        <v>1</v>
      </c>
      <c r="E2">
        <v>1</v>
      </c>
      <c r="F2">
        <v>1</v>
      </c>
      <c r="G2" t="s">
        <v>518</v>
      </c>
      <c r="H2" t="s">
        <v>349</v>
      </c>
      <c r="I2" t="s">
        <v>220</v>
      </c>
      <c r="J2">
        <v>100</v>
      </c>
      <c r="K2">
        <v>0</v>
      </c>
      <c r="L2" t="s">
        <v>350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519</v>
      </c>
      <c r="X2">
        <v>0</v>
      </c>
      <c r="Y2">
        <v>0</v>
      </c>
      <c r="Z2">
        <v>0</v>
      </c>
      <c r="AB2" t="s">
        <v>539</v>
      </c>
      <c r="AC2" t="s">
        <v>540</v>
      </c>
      <c r="AD2" t="s">
        <v>537</v>
      </c>
      <c r="AE2" t="s">
        <v>349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356</v>
      </c>
      <c r="AP2">
        <v>0</v>
      </c>
    </row>
    <row r="3" spans="1:42" x14ac:dyDescent="0.35">
      <c r="A3" t="s">
        <v>544</v>
      </c>
      <c r="B3" t="s">
        <v>545</v>
      </c>
      <c r="D3">
        <v>1</v>
      </c>
      <c r="E3">
        <v>2</v>
      </c>
      <c r="F3">
        <v>1</v>
      </c>
      <c r="G3" t="s">
        <v>518</v>
      </c>
      <c r="H3" t="s">
        <v>421</v>
      </c>
      <c r="I3" t="s">
        <v>220</v>
      </c>
      <c r="J3">
        <v>100</v>
      </c>
      <c r="K3">
        <v>0</v>
      </c>
      <c r="L3" t="s">
        <v>350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394</v>
      </c>
      <c r="X3">
        <v>0</v>
      </c>
      <c r="Y3">
        <v>0</v>
      </c>
      <c r="Z3">
        <v>0</v>
      </c>
      <c r="AB3" t="s">
        <v>546</v>
      </c>
      <c r="AC3" t="s">
        <v>547</v>
      </c>
      <c r="AD3" t="s">
        <v>544</v>
      </c>
      <c r="AE3" t="s">
        <v>421</v>
      </c>
      <c r="AF3" t="s">
        <v>356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577</v>
      </c>
      <c r="AN3">
        <v>150</v>
      </c>
      <c r="AO3">
        <v>0</v>
      </c>
      <c r="AP3">
        <v>0</v>
      </c>
    </row>
    <row r="4" spans="1:42" x14ac:dyDescent="0.35">
      <c r="A4" t="s">
        <v>554</v>
      </c>
      <c r="B4" t="s">
        <v>555</v>
      </c>
      <c r="D4">
        <v>1</v>
      </c>
      <c r="E4">
        <v>3</v>
      </c>
      <c r="F4">
        <v>1</v>
      </c>
      <c r="G4" t="s">
        <v>518</v>
      </c>
      <c r="H4" t="s">
        <v>120</v>
      </c>
      <c r="I4" t="s">
        <v>220</v>
      </c>
      <c r="J4">
        <v>0</v>
      </c>
      <c r="K4">
        <v>0</v>
      </c>
      <c r="L4" t="s">
        <v>556</v>
      </c>
      <c r="M4">
        <v>0</v>
      </c>
      <c r="N4" t="s">
        <v>352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557</v>
      </c>
      <c r="X4">
        <v>0</v>
      </c>
      <c r="Y4">
        <v>0</v>
      </c>
      <c r="Z4">
        <v>0</v>
      </c>
      <c r="AB4" t="s">
        <v>558</v>
      </c>
      <c r="AC4" t="s">
        <v>559</v>
      </c>
      <c r="AD4" t="s">
        <v>554</v>
      </c>
      <c r="AE4" t="s">
        <v>120</v>
      </c>
      <c r="AF4">
        <v>0</v>
      </c>
      <c r="AG4">
        <v>0</v>
      </c>
      <c r="AH4">
        <v>0</v>
      </c>
      <c r="AI4" t="s">
        <v>352</v>
      </c>
      <c r="AJ4">
        <v>60</v>
      </c>
      <c r="AK4" t="s">
        <v>560</v>
      </c>
      <c r="AL4">
        <v>350</v>
      </c>
      <c r="AM4">
        <v>0</v>
      </c>
      <c r="AN4">
        <v>0</v>
      </c>
      <c r="AO4">
        <v>0</v>
      </c>
      <c r="AP4">
        <v>30</v>
      </c>
    </row>
    <row r="5" spans="1:42" x14ac:dyDescent="0.35">
      <c r="A5" t="s">
        <v>567</v>
      </c>
      <c r="B5" t="s">
        <v>564</v>
      </c>
      <c r="D5">
        <v>1</v>
      </c>
      <c r="E5">
        <v>4</v>
      </c>
      <c r="F5">
        <v>1</v>
      </c>
      <c r="G5" t="s">
        <v>518</v>
      </c>
      <c r="H5" t="s">
        <v>568</v>
      </c>
      <c r="I5" t="s">
        <v>271</v>
      </c>
      <c r="J5">
        <v>0</v>
      </c>
      <c r="K5">
        <v>0</v>
      </c>
      <c r="L5" t="s">
        <v>350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60</v>
      </c>
      <c r="U5">
        <v>0</v>
      </c>
      <c r="V5">
        <v>0</v>
      </c>
      <c r="W5" t="s">
        <v>569</v>
      </c>
      <c r="X5">
        <v>0</v>
      </c>
      <c r="Y5">
        <v>0</v>
      </c>
      <c r="Z5">
        <v>30</v>
      </c>
      <c r="AB5" t="s">
        <v>570</v>
      </c>
      <c r="AC5" t="s">
        <v>571</v>
      </c>
      <c r="AD5" t="s">
        <v>567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563</v>
      </c>
      <c r="AL5">
        <v>0</v>
      </c>
      <c r="AM5">
        <v>0</v>
      </c>
      <c r="AN5">
        <v>0</v>
      </c>
      <c r="AO5">
        <v>0</v>
      </c>
      <c r="AP5">
        <v>0</v>
      </c>
    </row>
  </sheetData>
  <autoFilter ref="A1:AP1" xr:uid="{229BBAA4-9BD3-42B9-B593-4289584024EF}"/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9"/>
  <sheetViews>
    <sheetView workbookViewId="0">
      <selection activeCell="B9" sqref="B9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579</v>
      </c>
      <c r="B1" s="1" t="s">
        <v>86</v>
      </c>
      <c r="C1" s="1" t="s">
        <v>11</v>
      </c>
    </row>
    <row r="2" spans="1:3" x14ac:dyDescent="0.35">
      <c r="A2" t="s">
        <v>580</v>
      </c>
      <c r="B2">
        <v>50</v>
      </c>
      <c r="C2" t="s">
        <v>581</v>
      </c>
    </row>
    <row r="3" spans="1:3" x14ac:dyDescent="0.35">
      <c r="A3" t="s">
        <v>582</v>
      </c>
      <c r="B3">
        <v>150</v>
      </c>
      <c r="C3" t="s">
        <v>583</v>
      </c>
    </row>
    <row r="4" spans="1:3" x14ac:dyDescent="0.35">
      <c r="A4" t="s">
        <v>584</v>
      </c>
      <c r="B4">
        <v>150</v>
      </c>
      <c r="C4" t="s">
        <v>585</v>
      </c>
    </row>
    <row r="5" spans="1:3" x14ac:dyDescent="0.35">
      <c r="A5" t="s">
        <v>586</v>
      </c>
      <c r="B5">
        <v>300</v>
      </c>
      <c r="C5" t="s">
        <v>587</v>
      </c>
    </row>
    <row r="6" spans="1:3" x14ac:dyDescent="0.35">
      <c r="A6" t="s">
        <v>588</v>
      </c>
      <c r="B6" t="s">
        <v>353</v>
      </c>
      <c r="C6" t="s">
        <v>589</v>
      </c>
    </row>
    <row r="7" spans="1:3" x14ac:dyDescent="0.35">
      <c r="A7" t="s">
        <v>590</v>
      </c>
      <c r="B7">
        <v>25</v>
      </c>
      <c r="C7" t="s">
        <v>591</v>
      </c>
    </row>
    <row r="8" spans="1:3" x14ac:dyDescent="0.35">
      <c r="A8" t="s">
        <v>592</v>
      </c>
      <c r="B8">
        <v>80</v>
      </c>
      <c r="C8" t="s">
        <v>593</v>
      </c>
    </row>
    <row r="9" spans="1:3" x14ac:dyDescent="0.35">
      <c r="A9" t="s">
        <v>594</v>
      </c>
      <c r="B9" t="s">
        <v>576</v>
      </c>
      <c r="C9" t="s">
        <v>595</v>
      </c>
    </row>
  </sheetData>
  <autoFilter ref="A1:C1" xr:uid="{0BEDDDF9-1745-435C-8239-8F2992223F37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28</vt:i4>
      </vt:variant>
      <vt:variant>
        <vt:lpstr>Pojmenované oblasti</vt:lpstr>
      </vt:variant>
      <vt:variant>
        <vt:i4>20</vt:i4>
      </vt:variant>
    </vt:vector>
  </HeadingPairs>
  <TitlesOfParts>
    <vt:vector size="48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2026-01-02T19:44:28Z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