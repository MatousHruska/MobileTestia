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D32FA581-E10C-4083-B074-8A39C23E31CD}" xr6:coauthVersionLast="47" xr6:coauthVersionMax="47" xr10:uidLastSave="{00000000-0000-0000-0000-000000000000}"/>
  <bookViews>
    <workbookView xWindow="-110" yWindow="-110" windowWidth="38620" windowHeight="21100" tabRatio="1000" firstSheet="3" activeTab="5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EnemyAbilities!$A$1:$U$1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14" hidden="1">StatModifiers!$A$1:$D$1</definedName>
    <definedName name="_xlnm._FilterDatabase" localSheetId="11" hidden="1">StatusEffects!$A$1:$L$1</definedName>
    <definedName name="_xlnm._FilterDatabase" localSheetId="26" hidden="1">Talents!$A$1:$AL$1</definedName>
    <definedName name="_xlnm._FilterDatabase" localSheetId="25" hidden="1">TalentTrees!$A$1:$D$1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5A90F813-0A9C-464A-9CFF-387916EDDA2B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4DA8A9E7-D7D9-42F3-B275-4741EBECB93D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7CFA5C1A-F95C-4263-826D-F9FF6228F833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F865B141-66AD-4B3C-B4A2-24547333DE81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9350A0CD-FD78-4AEE-AA55-23B40FDEBA94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EDDB57A4-6B90-4BAA-8C80-2D71C49BB11B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E63C9795-82E0-4D0D-8C8A-0A53DAEE3E93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BA5FBE78-B62D-4B15-9837-FE793ED161B1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4FA212A2-4B26-49C7-85E0-CD3C53E8324F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D412FD29-458C-473A-9C47-70B872B0357F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28EA91CF-4AB4-45AE-97C4-5AE8D6E6231C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AF7DD66B-A668-4F8D-9181-6E9D75C3D8C6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1F778B27-22F9-431A-AEB3-1B5394B22DC0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5B36FA7D-CE8F-45A4-ACDB-83C15E7F03C2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277ED995-574B-48A0-847E-FEA9F239412E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1BB6D3D2-D99E-4E5A-AEFD-414597447283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1CF34BEB-5A40-4AA2-A791-40F234133D59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ECF44879-C511-467A-8136-A5D8C7316BEE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63DAC748-14F6-4593-8F9B-87008B25131A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DFB78505-170F-4858-AE52-8F344805ED78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F4780DCE-139F-4EEE-B80B-93294B7BD3AA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2F4035C7-EF10-45D3-9959-95FC18425687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83AFD237-A981-40A2-8956-6B58E31A9F1F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10E62676-AB4E-4296-AED8-39E418F91325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456F5684-53FA-49B2-B19F-928BBCC275F8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216AD373-F26F-4CFC-8AE3-A64FCF8966E5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26B40622-CC7C-4D66-BCCC-21B59D57291A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932EAC3F-8C3B-4484-8317-7A9C6DD7A222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BFC6961A-E134-4733-9292-0BBE2A24A359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A963BCD2-B149-4542-8F3E-8747C88EA84F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8D7C43F8-FE4D-41D6-9B4E-F403BC914419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D99DB21A-304D-40EE-8CE0-10D4F60238C2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E2216253-74D0-452D-8D40-ACDF0F8896CF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685F1956-EB2A-40A5-AA93-B6D7E0CAF465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A1ADFBF6-3370-419D-8392-1FE4D7729447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4B5D5658-E679-42FC-912D-FCEC8F123C9F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330D881D-8768-466D-A0B6-1A2C19C8525A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7D8A1E9B-A673-4388-BCAD-D8A161BCA173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C538E33F-5948-4A5A-9D05-5F5E4B05491E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323DD088-C35B-497C-9613-0637DE0A498E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5D8B8ADD-9FC6-4B0A-B3F8-0791BF3BFF6E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CBB8CAB9-6F32-4DA7-ADE6-C2EA4E0E1A50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7CF8EA69-5323-43FD-9642-B13E05703A5D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7171A0BE-F988-4E02-92BA-7702F330E380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8C7B20E5-A25D-4044-B942-AA19B4D53832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FDF41D39-5054-497E-A498-0E2F6A5084E4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FFB77932-A129-4F6F-8768-A8560D877F59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1821B5D8-A625-4024-B826-29ECA7A40DBF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26F4BE7D-3BC4-4866-B3A2-4922D5A1510E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CF6ECA5-45D3-4551-9FE2-9CFC57A98EB9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136844F0-89C8-4E42-9AB3-69EABF3495CA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CC34BAB2-864B-41DE-99F7-78AA034C8A38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719FF6DF-8F96-429A-9289-D6D6A3AFBA67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BBA7D8FE-EF22-4649-B29C-4249D29D37FB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4FCC9543-3620-4B4D-9D8C-433872747D5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0606FD5F-9456-4475-A2A3-4C9B62FDEC9C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AF88E0CC-648C-44C8-BA88-C211D96E7A9D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8FFC726A-F7AB-4E54-BFEA-19F9BBC8DE74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47ACDAEA-20E9-4E45-AEFA-FBC5A322E86A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CC4A5D27-7FFA-4B4E-8147-5AE81A528DDF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A5E81B3-48DA-4E72-852C-1A49790273EB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F8F54837-7B2B-4BAD-8A6C-613152EF0B98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BBEB7302-3E65-4CCB-A4CB-8228C8C9E033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A7849EBA-3974-4CA3-998B-614D59CFE0E2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E02BED2-6E2F-4B22-9D06-3E3F3BDE1291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4EDBD685-359B-4004-9522-CF91A2BCBFF1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11DDFA0E-49EC-44AC-A5BD-A42325180514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D05AF53F-00DA-4673-9A6D-0D0722AC8D0A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DE88B8D-36B0-4CC5-B067-7BD5CEB571E4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F5B3807F-93C8-4327-B6BD-364D67400A51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07AEB429-6686-40E9-88DA-6F59A80B634C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EB522456-B055-4282-B65F-EE54EA86B6F9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9C2CAC49-6233-40C7-8857-BE0E894EC587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70DF0A6E-6DFB-4237-98C1-AAD9180FDAD6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83F9140-CA23-49B6-AB01-D46FD6C9D213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2C22EC4E-4EED-4801-8B08-0E89427F9108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5492ADBA-DDCA-4096-85B8-A5AB736B6286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1859F515-F558-45E1-AB1A-2BA9F22F1188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13781D6A-46C7-47DA-811D-D5336F8E5C89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5D60913-C7D0-4178-95C5-4ADD61C51EDD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E7487AD1-D469-4FD6-875B-899CE4DA060E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9B1ADF0A-80CC-4706-82C0-E242E414606C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4E276EAF-933B-4CDF-9675-27C35363D4CB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7F72F3D8-9379-464D-AC6D-E74A216C1797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98C5DD8E-0304-4F49-A874-38FE5052F461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978B41CE-E9BC-46CA-B18A-7876E11002F2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4CAC70D2-ABA9-497F-9471-3A3B10F4AEB1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319F88B4-F4BD-47F7-B415-CF37309200FE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BEBA7882-5C2B-45BD-955B-B93BB6B50E45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3B697685-91BB-4ED0-9D10-3423B7E7A2C4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CB977D9-F837-4D47-8F5B-EC737FE6862C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5E1F08C9-38EF-4255-BF95-01298847E564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2B8D6B6C-976A-44E5-A67B-2B9D9CF94740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A59B4830-BACC-4098-8CDB-335B0989560B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793663DB-B5A1-4FD6-883A-0409343C2EE0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49AF1845-F373-40FA-9C65-D4F945ED272E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2F638008-08C5-46EC-BB5F-3531E827BE9E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4CF1E28F-DAC8-416C-91CB-7685833D81C3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147FC4E6-AB3F-4AAC-ADCF-C42DB52CB42D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51BD72E-593B-442C-9057-6CBEA6D9BACA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2861B4A1-9F98-4C6C-BF3E-C59F2B95668C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7A5D021-806E-4ACF-8253-1A98B38C249A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2DC1B2FE-9DB4-466E-9EFF-A3CDA70D102F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1A399800-62B7-4933-A3A8-79D612751B84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B5661023-67EC-493C-81CF-DFCAF3E3912D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DA47196D-BA59-4B57-A4CD-F19ED15B495B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5DA6ED55-C5B3-4500-B317-22FAFA8D50A6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9A155CE2-99D9-4223-9DC5-06C4FBF1E32E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596A8F42-5E8F-4676-B259-E4881AEBB2A4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F4D08EF9-338B-4FCB-A7CE-478EED6EDBDF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7FD777B9-3328-47E2-9461-0C35306D94F9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3EB80651-058D-40F5-B007-078E4E0681F5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13828EAE-684B-4289-9558-CE653859C258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148760A1-9F9B-4D3D-88D0-D815E8C19B81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EF73B559-2288-4654-90C9-5B7E08144614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A41D1BC4-2776-4A63-97F7-298A0E4AA266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50E10AAF-FAC3-4D13-949D-3708A3EA0C39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9F23F918-BE48-4A9F-9F78-12894C687EE2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59821BCC-1834-4039-950F-E2EF4CF69596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3AEE4426-ACE9-4988-8DCC-4DA820A33D1C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77A53400-AF67-426C-9994-00729AE9701C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24579A56-D908-4E46-A2CD-0CB1C796E867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4CCBCFB7-4CBF-46BF-B1A2-5553999FCFA7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CBD9DFDF-B610-46A4-BB20-179D73E7B6D4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946DBCBA-0D69-491F-9BE0-9AA13D7F4A98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47C723C6-C851-4ACC-9C7C-4401F1E9A874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17F9C1D5-5427-4F29-83CC-A06E6CE1895F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6D7F114A-0D48-4A56-A985-9FF451729626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970A3E8D-25AD-4658-BBD3-4E2257C32AA9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066BE0ED-D1E9-4F66-94FE-C39876F85773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9E138358-1F7F-4968-8D9F-04D2A0C239DC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56076FB4-D2B5-48FF-8AB1-3507A54C8872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2899845E-A941-422C-96F8-69D4C7C757A5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sharedStrings.xml><?xml version="1.0" encoding="utf-8"?>
<sst xmlns="http://schemas.openxmlformats.org/spreadsheetml/2006/main" count="884" uniqueCount="578">
  <si>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</si>
  <si>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</si>
  <si>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</si>
  <si>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</si>
  <si>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</si>
  <si>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</si>
  <si>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</si>
  <si>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</si>
  <si>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</si>
  <si>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</si>
  <si>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</si>
  <si>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</si>
  <si>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</si>
  <si>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</si>
  <si>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</si>
  <si>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</si>
  <si>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</si>
  <si>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</si>
  <si>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</si>
  <si>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</si>
  <si>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</si>
  <si>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</si>
  <si>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</si>
  <si>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</si>
  <si>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</si>
  <si>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</si>
  <si>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</si>
  <si>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</si>
  <si>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</si>
  <si>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</si>
  <si>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</si>
  <si>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</si>
  <si>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</si>
  <si>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</si>
  <si>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</si>
  <si>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</si>
  <si>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</si>
  <si>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</si>
  <si>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</si>
  <si>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</si>
  <si>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</si>
  <si>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</si>
  <si>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</si>
  <si>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</si>
  <si>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</si>
  <si>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</si>
  <si>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</si>
  <si>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</si>
  <si>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</si>
  <si>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</si>
  <si>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</si>
  <si>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</si>
  <si>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</si>
  <si>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</si>
  <si>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</si>
  <si>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</si>
  <si>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</si>
  <si>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</si>
  <si>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</si>
  <si>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</si>
  <si>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</si>
  <si>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</si>
  <si>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</si>
  <si>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</si>
  <si>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</si>
  <si>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</si>
  <si>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</si>
  <si>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</si>
  <si>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</si>
  <si>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</si>
  <si>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</si>
  <si>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</si>
  <si>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</si>
  <si>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</si>
  <si>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</si>
  <si>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</si>
  <si>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</si>
  <si>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</si>
  <si>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</si>
  <si>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</si>
  <si>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</si>
  <si>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</si>
  <si>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</si>
  <si>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</si>
  <si>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</si>
  <si>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</si>
  <si>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</si>
  <si>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</si>
  <si>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</si>
  <si>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</si>
  <si>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</si>
  <si>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</si>
  <si>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</si>
  <si>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</si>
  <si>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</si>
  <si>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</si>
  <si>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</si>
  <si>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</si>
  <si>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</si>
  <si>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</si>
  <si>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</si>
  <si>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</si>
  <si>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</si>
  <si>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</si>
  <si>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</si>
  <si>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</si>
  <si>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</si>
  <si>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</si>
  <si>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</si>
  <si>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</si>
  <si>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</si>
  <si>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</si>
  <si>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</si>
  <si>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</si>
  <si>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</si>
  <si>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</si>
  <si>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</si>
  <si>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</si>
  <si>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</si>
  <si>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</si>
  <si>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</si>
  <si>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</si>
  <si>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</si>
  <si>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</si>
  <si>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</si>
  <si>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</si>
  <si>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</si>
  <si>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</si>
  <si>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</si>
  <si>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</si>
  <si>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</si>
  <si>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</si>
  <si>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</si>
  <si>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</si>
  <si>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</si>
  <si>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</si>
  <si>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</si>
  <si>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</si>
  <si>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</si>
  <si>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</si>
  <si>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</si>
  <si>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</si>
  <si>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</si>
  <si>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</si>
  <si>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</si>
  <si>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</si>
  <si>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</si>
  <si>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</si>
  <si>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</si>
  <si>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</si>
  <si>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</si>
  <si>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</si>
  <si>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</si>
  <si>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</si>
  <si>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</si>
  <si>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</si>
  <si>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</si>
  <si>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</si>
  <si>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</si>
  <si>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</si>
  <si>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</si>
  <si>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</si>
  <si>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</si>
  <si>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</si>
  <si>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</si>
  <si>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</si>
  <si>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</si>
  <si>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</si>
  <si>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</si>
  <si>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</si>
  <si>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</si>
  <si>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</si>
  <si>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</si>
  <si>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</si>
  <si>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</si>
  <si>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</si>
  <si>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</si>
  <si>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</si>
  <si>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</si>
  <si>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</si>
  <si>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</si>
  <si>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</si>
  <si>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</si>
  <si>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</si>
  <si>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</si>
  <si>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</si>
  <si>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</si>
  <si>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</si>
  <si>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</si>
  <si>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</si>
  <si>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</si>
  <si>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</si>
  <si>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</si>
  <si>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</si>
  <si>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</si>
  <si>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</si>
  <si>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</si>
  <si>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</si>
  <si>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</si>
  <si>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</si>
  <si>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</si>
  <si>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</si>
  <si>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</si>
  <si>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</si>
  <si>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</si>
  <si>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</si>
  <si>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</si>
  <si>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</si>
  <si>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</si>
  <si>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</si>
  <si>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</si>
  <si>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</si>
  <si>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</si>
  <si>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</si>
  <si>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</si>
  <si>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</si>
  <si>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</si>
  <si>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</si>
  <si>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</si>
  <si>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</si>
  <si>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</si>
  <si>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</si>
  <si>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</si>
  <si>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</si>
  <si>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</si>
  <si>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</si>
  <si>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</si>
  <si>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</si>
  <si>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</si>
  <si>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</si>
  <si>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</si>
  <si>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</si>
  <si>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</si>
  <si>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</si>
  <si>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</si>
  <si>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</si>
  <si>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</si>
  <si>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</si>
  <si>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</si>
  <si>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</si>
  <si>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</si>
  <si>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</si>
  <si>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</si>
  <si>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</si>
  <si>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</si>
  <si>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</si>
  <si>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</si>
  <si>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</si>
  <si>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</si>
  <si>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</si>
  <si>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</si>
  <si>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</si>
  <si>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</si>
  <si>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</si>
  <si>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</si>
  <si>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</si>
  <si>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</si>
  <si>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</si>
  <si>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</si>
  <si>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</si>
  <si>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</si>
  <si>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</si>
  <si>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</si>
  <si>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</si>
  <si>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</si>
  <si>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</si>
  <si>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</si>
  <si>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</si>
  <si>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</si>
  <si>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</si>
  <si>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</si>
  <si>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</si>
  <si>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</si>
  <si>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</si>
  <si>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</si>
  <si>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</si>
  <si>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</si>
  <si>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</si>
  <si>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</si>
  <si>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</si>
  <si>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</si>
  <si>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</si>
  <si>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</si>
  <si>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</si>
  <si>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</si>
  <si>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</si>
  <si>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</si>
  <si>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</si>
  <si>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</si>
  <si>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</si>
  <si>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</si>
  <si>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</si>
  <si>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</si>
  <si>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</si>
  <si>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</si>
  <si>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</si>
  <si>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</si>
  <si>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</si>
  <si>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</si>
  <si>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</si>
  <si>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</si>
  <si>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</si>
  <si>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</si>
  <si>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</si>
  <si>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</si>
  <si>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</si>
  <si>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</si>
  <si>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</si>
  <si>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</si>
  <si>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</si>
  <si>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</si>
  <si>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</si>
  <si>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</si>
  <si>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</si>
  <si>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</si>
  <si>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</si>
  <si>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</si>
  <si>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</si>
  <si>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</si>
  <si>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</si>
  <si>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</si>
  <si>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</si>
  <si>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</si>
  <si>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</si>
  <si>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</si>
  <si>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</si>
  <si>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</si>
  <si>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</si>
  <si>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</si>
  <si>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</si>
  <si>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</si>
  <si>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</si>
  <si>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</si>
  <si>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</si>
  <si>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</si>
  <si>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</si>
  <si>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</si>
  <si>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</si>
  <si>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</si>
  <si>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</si>
  <si>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</si>
  <si>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</si>
  <si>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</si>
  <si>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</si>
  <si>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</si>
  <si>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</si>
  <si>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</si>
  <si>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</si>
  <si>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</si>
  <si>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</si>
  <si>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</si>
  <si>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</si>
  <si>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</si>
  <si>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</si>
  <si>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</si>
  <si>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</si>
  <si>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</si>
  <si>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</si>
  <si>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</si>
  <si>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</si>
  <si>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</si>
  <si>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</si>
  <si>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</si>
  <si>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</si>
  <si>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</si>
  <si>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</si>
  <si>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</si>
  <si>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</si>
  <si>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</si>
  <si>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</si>
  <si>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</si>
  <si>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</si>
  <si>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</si>
  <si>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</si>
  <si>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</si>
  <si>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</si>
  <si>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</si>
  <si>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</si>
  <si>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</si>
  <si>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</si>
  <si>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</si>
  <si>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</si>
  <si>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</si>
  <si>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</si>
  <si>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</si>
  <si>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</si>
  <si>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</si>
  <si>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</si>
  <si>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</si>
  <si>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</si>
  <si>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</si>
  <si>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</si>
  <si>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</si>
  <si>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</si>
  <si>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</si>
  <si>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</si>
  <si>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</si>
  <si>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</si>
  <si>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</si>
  <si>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</si>
  <si>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</si>
  <si>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</si>
  <si>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</si>
  <si>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</si>
  <si>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</si>
  <si>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</si>
  <si>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</si>
  <si>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</si>
  <si>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</si>
  <si>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</si>
  <si>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</si>
  <si>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</si>
  <si>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</si>
  <si>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</si>
  <si>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</si>
  <si>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</si>
  <si>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</si>
  <si>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</si>
  <si>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</si>
  <si>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</si>
  <si>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</si>
  <si>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</si>
  <si>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</si>
  <si>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</si>
  <si>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</si>
  <si>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</si>
  <si>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</si>
  <si>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</si>
  <si>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</si>
  <si>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</si>
  <si>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</si>
  <si>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</si>
  <si>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</si>
  <si>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</si>
  <si>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</si>
  <si>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</si>
  <si>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</si>
  <si>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</si>
  <si>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</si>
  <si>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</si>
  <si>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</si>
  <si>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</si>
  <si>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</si>
  <si>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</si>
  <si>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</si>
  <si>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</si>
  <si>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</si>
  <si>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</si>
  <si>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</si>
  <si>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</si>
  <si>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</si>
  <si>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</si>
  <si>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</si>
  <si>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</si>
  <si>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</si>
  <si>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</si>
  <si>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</si>
  <si>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</si>
  <si>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</si>
  <si>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</si>
  <si>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</si>
  <si>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</si>
  <si>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</si>
  <si>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</si>
  <si>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</si>
  <si>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</si>
  <si>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</si>
  <si>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</si>
  <si>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</si>
  <si>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</si>
  <si>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</si>
  <si>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</si>
  <si>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</si>
  <si>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</si>
  <si>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</si>
  <si>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</si>
  <si>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</si>
  <si>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</si>
  <si>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</si>
  <si>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</si>
  <si>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</si>
  <si>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</si>
  <si>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</si>
  <si>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</si>
  <si>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</si>
  <si>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</si>
  <si>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</si>
  <si>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</si>
  <si>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</si>
  <si>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</si>
  <si>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</si>
  <si>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</si>
  <si>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</si>
  <si>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</si>
  <si>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</si>
  <si>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</si>
  <si>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</si>
  <si>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</si>
  <si>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</si>
  <si>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</si>
  <si>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</si>
  <si>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</si>
  <si>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</si>
  <si>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</si>
  <si>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</si>
  <si>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</si>
  <si>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</si>
  <si>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</si>
  <si>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</si>
  <si>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</si>
  <si>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</si>
  <si>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</si>
  <si>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</si>
  <si>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</si>
  <si>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</si>
  <si>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</si>
  <si>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</si>
  <si>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</si>
  <si>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</si>
  <si>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</si>
  <si>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</si>
  <si>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</si>
  <si>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</si>
  <si>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</si>
  <si>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</si>
  <si>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</si>
  <si>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</si>
  <si>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</si>
  <si>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</si>
  <si>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</si>
  <si>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</si>
  <si>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</si>
  <si>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</si>
  <si>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</si>
  <si>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</si>
  <si>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</si>
  <si>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</si>
  <si>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</si>
  <si>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</si>
  <si>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</si>
  <si>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</si>
  <si>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</si>
  <si>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</si>
  <si>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</si>
  <si>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</si>
  <si>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</si>
  <si>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</si>
  <si>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</si>
  <si>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</si>
  <si>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</si>
  <si>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</si>
  <si>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</si>
  <si>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</si>
  <si>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</si>
  <si>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</si>
  <si>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</si>
  <si>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</si>
  <si>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magic_projectile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</si>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</sst>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topLeftCell="A13" workbookViewId="0">
      <selection activeCell="U29" sqref="U2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520</v>
      </c>
      <c r="F1" s="1" t="s">
        <v>521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541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  <c r="R2" t="s">
        <v>543</v>
      </c>
    </row>
    <row r="3" spans="1:18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  <c r="R3" t="s">
        <v>543</v>
      </c>
    </row>
    <row r="4" spans="1:18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  <c r="R4" t="s">
        <v>543</v>
      </c>
    </row>
    <row r="5" spans="1:18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  <c r="R5" t="s">
        <v>120</v>
      </c>
    </row>
    <row r="6" spans="1:18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  <c r="R6" t="s">
        <v>421</v>
      </c>
    </row>
    <row r="7" spans="1:18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8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8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8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8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8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8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8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8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8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F22" sqref="F2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10</v>
      </c>
      <c r="E2">
        <v>1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tabSelected="1" topLeftCell="C1" workbookViewId="0">
      <selection activeCell="V21" sqref="V21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  <c r="V1" s="1" t="s">
        <v>572</v>
      </c>
    </row>
    <row r="2" spans="1:22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  <c r="V2">
        <v>0</v>
      </c>
    </row>
    <row r="3" spans="1:22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  <c r="V3">
        <v>0</v>
      </c>
    </row>
    <row r="4" spans="1:22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  <c r="V4">
        <v>0</v>
      </c>
    </row>
    <row r="5" spans="1:22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  <c r="V5">
        <v>0</v>
      </c>
    </row>
    <row r="6" spans="1:22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  <c r="V6">
        <v>0</v>
      </c>
    </row>
    <row r="7" spans="1:22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  <c r="V7">
        <v>0</v>
      </c>
    </row>
    <row r="8" spans="1:22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  <c r="V8">
        <v>0</v>
      </c>
    </row>
    <row r="9" spans="1:22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  <c r="V9">
        <v>0</v>
      </c>
    </row>
    <row r="10" spans="1:22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  <c r="V10">
        <v>30</v>
      </c>
    </row>
  </sheetData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L4"/>
  <sheetViews>
    <sheetView workbookViewId="0">
      <selection activeCell="H21" sqref="H21"/>
    </sheetView>
  </sheetViews>
  <sheetFormatPr defaultRowHeight="14.5" x14ac:dyDescent="0.35"/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11</v>
      </c>
    </row>
    <row r="2" spans="1:12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</row>
    <row r="3" spans="1:12" x14ac:dyDescent="0.35">
      <c r="A3" t="s">
        <v>560</v>
      </c>
      <c r="B3" t="s">
        <v>561</v>
      </c>
      <c r="C3" t="s">
        <v>434</v>
      </c>
      <c r="D3" t="s">
        <v>435</v>
      </c>
      <c r="E3">
        <v>-5</v>
      </c>
      <c r="F3">
        <v>3</v>
      </c>
      <c r="G3" t="s">
        <v>356</v>
      </c>
      <c r="H3" t="s">
        <v>562</v>
      </c>
      <c r="I3" t="s">
        <v>437</v>
      </c>
      <c r="J3">
        <v>1</v>
      </c>
      <c r="K3" t="s">
        <v>220</v>
      </c>
    </row>
    <row r="4" spans="1:12" x14ac:dyDescent="0.35">
      <c r="A4" t="s">
        <v>563</v>
      </c>
      <c r="B4" t="s">
        <v>564</v>
      </c>
      <c r="C4" t="s">
        <v>565</v>
      </c>
      <c r="D4" t="s">
        <v>435</v>
      </c>
      <c r="E4">
        <v>10</v>
      </c>
      <c r="F4">
        <v>30</v>
      </c>
      <c r="G4">
        <v>2</v>
      </c>
      <c r="H4" t="s">
        <v>566</v>
      </c>
      <c r="I4" t="s">
        <v>272</v>
      </c>
      <c r="J4">
        <v>1</v>
      </c>
      <c r="K4" t="s">
        <v>271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465</v>
      </c>
      <c r="C4" s="3" t="s">
        <v>235</v>
      </c>
      <c r="D4" s="3">
        <v>1</v>
      </c>
      <c r="E4" s="3">
        <v>10</v>
      </c>
      <c r="F4" s="3" t="s">
        <v>466</v>
      </c>
      <c r="G4" s="4" t="s">
        <v>467</v>
      </c>
      <c r="H4">
        <v>60</v>
      </c>
      <c r="I4" t="s">
        <v>468</v>
      </c>
      <c r="J4" t="s">
        <v>469</v>
      </c>
      <c r="K4" t="s">
        <v>272</v>
      </c>
      <c r="L4" t="s">
        <v>272</v>
      </c>
      <c r="N4" t="s">
        <v>271</v>
      </c>
      <c r="O4" t="s">
        <v>470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464</v>
      </c>
      <c r="E1" s="1" t="s">
        <v>460</v>
      </c>
      <c r="F1" s="1" t="s">
        <v>461</v>
      </c>
      <c r="G1" s="1" t="s">
        <v>462</v>
      </c>
      <c r="H1" s="1" t="s">
        <v>93</v>
      </c>
      <c r="I1" s="1" t="s">
        <v>459</v>
      </c>
      <c r="J1" s="1" t="s">
        <v>463</v>
      </c>
      <c r="K1" s="1" t="s">
        <v>11</v>
      </c>
    </row>
    <row r="2" spans="1:11" x14ac:dyDescent="0.35">
      <c r="A2" t="s">
        <v>471</v>
      </c>
      <c r="B2" t="s">
        <v>237</v>
      </c>
      <c r="C2" t="s">
        <v>472</v>
      </c>
      <c r="D2" t="s">
        <v>473</v>
      </c>
      <c r="I2" t="s">
        <v>474</v>
      </c>
      <c r="J2" t="s">
        <v>271</v>
      </c>
      <c r="K2" t="s">
        <v>475</v>
      </c>
    </row>
    <row r="3" spans="1:11" x14ac:dyDescent="0.35">
      <c r="A3" t="s">
        <v>476</v>
      </c>
      <c r="B3" t="s">
        <v>237</v>
      </c>
      <c r="C3" t="s">
        <v>477</v>
      </c>
      <c r="D3" t="s">
        <v>473</v>
      </c>
      <c r="H3" t="s">
        <v>478</v>
      </c>
      <c r="I3" t="s">
        <v>479</v>
      </c>
      <c r="J3" t="s">
        <v>271</v>
      </c>
      <c r="K3" t="s">
        <v>480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25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526</v>
      </c>
    </row>
    <row r="3" spans="1:4" x14ac:dyDescent="0.35">
      <c r="A3" t="s">
        <v>527</v>
      </c>
    </row>
    <row r="4" spans="1:4" x14ac:dyDescent="0.35">
      <c r="A4" t="s">
        <v>528</v>
      </c>
    </row>
    <row r="5" spans="1:4" x14ac:dyDescent="0.35">
      <c r="A5" t="s">
        <v>529</v>
      </c>
    </row>
    <row r="6" spans="1:4" x14ac:dyDescent="0.35">
      <c r="A6" t="s">
        <v>530</v>
      </c>
    </row>
    <row r="7" spans="1:4" x14ac:dyDescent="0.35">
      <c r="A7" t="s">
        <v>531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114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autoFilter ref="A1:P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440</v>
      </c>
      <c r="D1" s="1" t="s">
        <v>441</v>
      </c>
      <c r="E1" s="1" t="s">
        <v>442</v>
      </c>
      <c r="F1" s="1" t="s">
        <v>443</v>
      </c>
    </row>
    <row r="2" spans="1:6" x14ac:dyDescent="0.35">
      <c r="A2" t="s">
        <v>447</v>
      </c>
      <c r="B2" t="s">
        <v>444</v>
      </c>
      <c r="C2" t="s">
        <v>445</v>
      </c>
      <c r="D2" t="s">
        <v>238</v>
      </c>
      <c r="E2" t="s">
        <v>271</v>
      </c>
      <c r="F2" t="s">
        <v>446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C55F7066-92D5-4EDE-BF0B-15047BC3B153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5D927A6B-0FDA-4B4D-850F-855AADB3E4DD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448</v>
      </c>
      <c r="C1" s="1" t="s">
        <v>449</v>
      </c>
      <c r="D1" s="1" t="s">
        <v>450</v>
      </c>
      <c r="E1" s="1" t="s">
        <v>451</v>
      </c>
      <c r="F1" s="1" t="s">
        <v>452</v>
      </c>
      <c r="G1" s="1" t="s">
        <v>319</v>
      </c>
      <c r="H1" s="1" t="s">
        <v>453</v>
      </c>
      <c r="I1" s="1" t="s">
        <v>35</v>
      </c>
      <c r="J1" s="1" t="s">
        <v>61</v>
      </c>
      <c r="K1" s="1" t="s">
        <v>454</v>
      </c>
    </row>
    <row r="2" spans="1:11" x14ac:dyDescent="0.35">
      <c r="A2" t="s">
        <v>455</v>
      </c>
      <c r="B2" t="s">
        <v>445</v>
      </c>
      <c r="C2" t="s">
        <v>458</v>
      </c>
      <c r="D2" t="s">
        <v>456</v>
      </c>
      <c r="F2" t="s">
        <v>133</v>
      </c>
      <c r="G2">
        <v>5</v>
      </c>
      <c r="H2" t="s">
        <v>457</v>
      </c>
      <c r="I2">
        <v>120</v>
      </c>
      <c r="J2">
        <v>3</v>
      </c>
      <c r="K2">
        <v>1</v>
      </c>
    </row>
    <row r="3" spans="1:11" x14ac:dyDescent="0.35">
      <c r="A3" t="s">
        <v>481</v>
      </c>
      <c r="B3" t="s">
        <v>482</v>
      </c>
      <c r="C3" t="s">
        <v>483</v>
      </c>
      <c r="D3" t="s">
        <v>484</v>
      </c>
      <c r="F3" t="s">
        <v>356</v>
      </c>
      <c r="G3">
        <v>5</v>
      </c>
      <c r="H3" t="s">
        <v>485</v>
      </c>
      <c r="I3">
        <v>120</v>
      </c>
      <c r="J3">
        <v>4</v>
      </c>
      <c r="K3">
        <v>1</v>
      </c>
    </row>
    <row r="4" spans="1:11" x14ac:dyDescent="0.35">
      <c r="A4" t="s">
        <v>486</v>
      </c>
      <c r="B4" t="s">
        <v>482</v>
      </c>
      <c r="C4" t="s">
        <v>483</v>
      </c>
      <c r="D4" t="s">
        <v>497</v>
      </c>
      <c r="F4" t="s">
        <v>356</v>
      </c>
      <c r="G4">
        <v>5</v>
      </c>
      <c r="H4" t="s">
        <v>485</v>
      </c>
      <c r="I4">
        <v>120</v>
      </c>
      <c r="J4">
        <v>4</v>
      </c>
      <c r="K4">
        <v>1</v>
      </c>
    </row>
    <row r="5" spans="1:11" x14ac:dyDescent="0.35">
      <c r="A5" t="s">
        <v>487</v>
      </c>
      <c r="B5" t="s">
        <v>482</v>
      </c>
      <c r="C5" t="s">
        <v>483</v>
      </c>
      <c r="D5" t="s">
        <v>488</v>
      </c>
      <c r="F5" t="s">
        <v>356</v>
      </c>
      <c r="G5">
        <v>5</v>
      </c>
      <c r="H5" t="s">
        <v>485</v>
      </c>
      <c r="I5">
        <v>120</v>
      </c>
      <c r="J5">
        <v>4</v>
      </c>
      <c r="K5">
        <v>1</v>
      </c>
    </row>
    <row r="6" spans="1:11" x14ac:dyDescent="0.35">
      <c r="A6" t="s">
        <v>489</v>
      </c>
      <c r="B6" t="s">
        <v>482</v>
      </c>
      <c r="C6" t="s">
        <v>490</v>
      </c>
      <c r="D6" t="s">
        <v>491</v>
      </c>
      <c r="F6" t="s">
        <v>356</v>
      </c>
      <c r="G6">
        <v>5</v>
      </c>
      <c r="H6" t="s">
        <v>485</v>
      </c>
      <c r="I6">
        <v>120</v>
      </c>
      <c r="J6">
        <v>4</v>
      </c>
      <c r="K6">
        <v>1</v>
      </c>
    </row>
    <row r="7" spans="1:11" x14ac:dyDescent="0.35">
      <c r="A7" t="s">
        <v>492</v>
      </c>
      <c r="B7" t="s">
        <v>482</v>
      </c>
      <c r="C7" t="s">
        <v>490</v>
      </c>
      <c r="D7" t="s">
        <v>498</v>
      </c>
      <c r="F7" t="s">
        <v>356</v>
      </c>
      <c r="G7">
        <v>5</v>
      </c>
      <c r="H7" t="s">
        <v>485</v>
      </c>
      <c r="I7">
        <v>120</v>
      </c>
      <c r="J7">
        <v>4</v>
      </c>
      <c r="K7">
        <v>1</v>
      </c>
    </row>
    <row r="8" spans="1:11" x14ac:dyDescent="0.35">
      <c r="A8" t="s">
        <v>493</v>
      </c>
      <c r="B8" t="s">
        <v>482</v>
      </c>
      <c r="C8" t="s">
        <v>490</v>
      </c>
      <c r="D8" t="s">
        <v>494</v>
      </c>
      <c r="F8" t="s">
        <v>356</v>
      </c>
      <c r="G8">
        <v>5</v>
      </c>
      <c r="H8" t="s">
        <v>485</v>
      </c>
      <c r="I8">
        <v>120</v>
      </c>
      <c r="J8">
        <v>4</v>
      </c>
      <c r="K8">
        <v>1</v>
      </c>
    </row>
    <row r="9" spans="1:11" x14ac:dyDescent="0.35">
      <c r="A9" t="s">
        <v>495</v>
      </c>
      <c r="B9" t="s">
        <v>482</v>
      </c>
      <c r="C9" t="s">
        <v>490</v>
      </c>
      <c r="D9" t="s">
        <v>496</v>
      </c>
      <c r="F9" t="s">
        <v>356</v>
      </c>
      <c r="G9">
        <v>5</v>
      </c>
      <c r="H9" t="s">
        <v>485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448</v>
      </c>
      <c r="C1" s="1" t="s">
        <v>449</v>
      </c>
      <c r="D1" s="1" t="s">
        <v>499</v>
      </c>
      <c r="E1" s="1" t="s">
        <v>500</v>
      </c>
      <c r="F1" s="1" t="s">
        <v>501</v>
      </c>
      <c r="G1" s="1" t="s">
        <v>61</v>
      </c>
      <c r="H1" s="1" t="s">
        <v>319</v>
      </c>
      <c r="I1" s="1" t="s">
        <v>502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509</v>
      </c>
      <c r="B2" t="s">
        <v>510</v>
      </c>
      <c r="C2" t="s">
        <v>511</v>
      </c>
      <c r="D2" t="s">
        <v>509</v>
      </c>
    </row>
    <row r="3" spans="1:4" x14ac:dyDescent="0.35">
      <c r="A3" t="s">
        <v>512</v>
      </c>
      <c r="B3" t="s">
        <v>513</v>
      </c>
      <c r="C3" t="s">
        <v>514</v>
      </c>
      <c r="D3" t="s">
        <v>512</v>
      </c>
    </row>
    <row r="4" spans="1:4" x14ac:dyDescent="0.35">
      <c r="A4" t="s">
        <v>515</v>
      </c>
      <c r="B4" t="s">
        <v>516</v>
      </c>
      <c r="C4" t="s">
        <v>517</v>
      </c>
      <c r="D4" t="s">
        <v>515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P5"/>
  <sheetViews>
    <sheetView topLeftCell="M1" workbookViewId="0">
      <selection activeCell="AN16" sqref="AN16"/>
    </sheetView>
  </sheetViews>
  <sheetFormatPr defaultRowHeight="14.5" x14ac:dyDescent="0.35"/>
  <cols>
    <col min="1" max="31" width="11.90625" customWidth="1"/>
    <col min="34" max="34" width="10.6328125" customWidth="1"/>
  </cols>
  <sheetData>
    <row r="1" spans="1:42" x14ac:dyDescent="0.35">
      <c r="A1" s="1" t="s">
        <v>0</v>
      </c>
      <c r="B1" s="1" t="s">
        <v>1</v>
      </c>
      <c r="C1" s="1" t="s">
        <v>52</v>
      </c>
      <c r="D1" s="1" t="s">
        <v>503</v>
      </c>
      <c r="E1" s="1" t="s">
        <v>504</v>
      </c>
      <c r="F1" s="1" t="s">
        <v>505</v>
      </c>
      <c r="G1" s="1" t="s">
        <v>12</v>
      </c>
      <c r="H1" s="1" t="s">
        <v>522</v>
      </c>
      <c r="I1" s="1" t="s">
        <v>532</v>
      </c>
      <c r="J1" s="1" t="s">
        <v>523</v>
      </c>
      <c r="K1" s="1" t="s">
        <v>524</v>
      </c>
      <c r="L1" s="1" t="s">
        <v>34</v>
      </c>
      <c r="M1" s="1" t="s">
        <v>533</v>
      </c>
      <c r="N1" s="1" t="s">
        <v>534</v>
      </c>
      <c r="O1" s="1" t="s">
        <v>535</v>
      </c>
      <c r="P1" s="1" t="s">
        <v>536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525</v>
      </c>
      <c r="W1" s="1" t="s">
        <v>58</v>
      </c>
      <c r="X1" s="1" t="s">
        <v>59</v>
      </c>
      <c r="Y1" s="1" t="s">
        <v>506</v>
      </c>
      <c r="Z1" s="1" t="s">
        <v>61</v>
      </c>
      <c r="AA1" s="1" t="s">
        <v>507</v>
      </c>
      <c r="AB1" s="1" t="s">
        <v>11</v>
      </c>
      <c r="AC1" s="1" t="s">
        <v>508</v>
      </c>
      <c r="AD1" s="1" t="s">
        <v>63</v>
      </c>
      <c r="AE1" s="1" t="s">
        <v>542</v>
      </c>
      <c r="AF1" s="1" t="s">
        <v>548</v>
      </c>
      <c r="AG1" s="1" t="s">
        <v>549</v>
      </c>
      <c r="AH1" s="1" t="s">
        <v>550</v>
      </c>
      <c r="AI1" s="1" t="s">
        <v>551</v>
      </c>
      <c r="AJ1" s="1" t="s">
        <v>552</v>
      </c>
      <c r="AK1" s="1" t="s">
        <v>553</v>
      </c>
      <c r="AL1" s="1" t="s">
        <v>322</v>
      </c>
      <c r="AM1" s="1" t="s">
        <v>573</v>
      </c>
      <c r="AN1" s="1" t="s">
        <v>574</v>
      </c>
      <c r="AO1" s="1" t="s">
        <v>575</v>
      </c>
      <c r="AP1" s="1" t="s">
        <v>572</v>
      </c>
    </row>
    <row r="2" spans="1:42" x14ac:dyDescent="0.35">
      <c r="A2" t="s">
        <v>537</v>
      </c>
      <c r="B2" t="s">
        <v>538</v>
      </c>
      <c r="D2">
        <v>1</v>
      </c>
      <c r="E2">
        <v>1</v>
      </c>
      <c r="F2">
        <v>1</v>
      </c>
      <c r="G2" t="s">
        <v>518</v>
      </c>
      <c r="H2" t="s">
        <v>349</v>
      </c>
      <c r="I2" t="s">
        <v>220</v>
      </c>
      <c r="J2">
        <v>100</v>
      </c>
      <c r="K2">
        <v>0</v>
      </c>
      <c r="L2" t="s">
        <v>350</v>
      </c>
      <c r="M2">
        <v>40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519</v>
      </c>
      <c r="X2">
        <v>0</v>
      </c>
      <c r="Y2">
        <v>0</v>
      </c>
      <c r="Z2">
        <v>0</v>
      </c>
      <c r="AB2" t="s">
        <v>539</v>
      </c>
      <c r="AC2" t="s">
        <v>540</v>
      </c>
      <c r="AD2" t="s">
        <v>537</v>
      </c>
      <c r="AE2" t="s">
        <v>349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576</v>
      </c>
      <c r="AP2">
        <v>0</v>
      </c>
    </row>
    <row r="3" spans="1:42" x14ac:dyDescent="0.35">
      <c r="A3" t="s">
        <v>544</v>
      </c>
      <c r="B3" t="s">
        <v>545</v>
      </c>
      <c r="D3">
        <v>1</v>
      </c>
      <c r="E3">
        <v>2</v>
      </c>
      <c r="F3">
        <v>1</v>
      </c>
      <c r="G3" t="s">
        <v>518</v>
      </c>
      <c r="H3" t="s">
        <v>421</v>
      </c>
      <c r="I3" t="s">
        <v>220</v>
      </c>
      <c r="J3">
        <v>100</v>
      </c>
      <c r="K3">
        <v>0</v>
      </c>
      <c r="L3" t="s">
        <v>350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394</v>
      </c>
      <c r="X3">
        <v>0</v>
      </c>
      <c r="Y3">
        <v>0</v>
      </c>
      <c r="Z3">
        <v>0</v>
      </c>
      <c r="AB3" t="s">
        <v>546</v>
      </c>
      <c r="AC3" t="s">
        <v>547</v>
      </c>
      <c r="AD3" t="s">
        <v>544</v>
      </c>
      <c r="AE3" t="s">
        <v>421</v>
      </c>
      <c r="AF3" t="s">
        <v>356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577</v>
      </c>
      <c r="AN3">
        <v>150</v>
      </c>
      <c r="AO3">
        <v>0</v>
      </c>
      <c r="AP3">
        <v>0</v>
      </c>
    </row>
    <row r="4" spans="1:42" x14ac:dyDescent="0.35">
      <c r="A4" t="s">
        <v>554</v>
      </c>
      <c r="B4" t="s">
        <v>555</v>
      </c>
      <c r="D4">
        <v>1</v>
      </c>
      <c r="E4">
        <v>3</v>
      </c>
      <c r="F4">
        <v>1</v>
      </c>
      <c r="G4" t="s">
        <v>518</v>
      </c>
      <c r="H4" t="s">
        <v>120</v>
      </c>
      <c r="I4" t="s">
        <v>220</v>
      </c>
      <c r="J4">
        <v>0</v>
      </c>
      <c r="K4">
        <v>0</v>
      </c>
      <c r="L4" t="s">
        <v>556</v>
      </c>
      <c r="M4">
        <v>0</v>
      </c>
      <c r="N4" t="s">
        <v>352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557</v>
      </c>
      <c r="X4">
        <v>0</v>
      </c>
      <c r="Y4">
        <v>0</v>
      </c>
      <c r="Z4">
        <v>0</v>
      </c>
      <c r="AB4" t="s">
        <v>558</v>
      </c>
      <c r="AC4" t="s">
        <v>559</v>
      </c>
      <c r="AD4" t="s">
        <v>554</v>
      </c>
      <c r="AE4" t="s">
        <v>120</v>
      </c>
      <c r="AF4">
        <v>0</v>
      </c>
      <c r="AG4">
        <v>0</v>
      </c>
      <c r="AH4">
        <v>0</v>
      </c>
      <c r="AI4" t="s">
        <v>352</v>
      </c>
      <c r="AJ4">
        <v>60</v>
      </c>
      <c r="AK4" t="s">
        <v>560</v>
      </c>
      <c r="AL4">
        <v>350</v>
      </c>
      <c r="AM4">
        <v>0</v>
      </c>
      <c r="AN4">
        <v>0</v>
      </c>
      <c r="AO4">
        <v>0</v>
      </c>
      <c r="AP4">
        <v>30</v>
      </c>
    </row>
    <row r="5" spans="1:42" x14ac:dyDescent="0.35">
      <c r="A5" t="s">
        <v>567</v>
      </c>
      <c r="B5" t="s">
        <v>564</v>
      </c>
      <c r="D5">
        <v>1</v>
      </c>
      <c r="E5">
        <v>4</v>
      </c>
      <c r="F5">
        <v>1</v>
      </c>
      <c r="G5" t="s">
        <v>518</v>
      </c>
      <c r="H5" t="s">
        <v>568</v>
      </c>
      <c r="I5" t="s">
        <v>271</v>
      </c>
      <c r="J5">
        <v>0</v>
      </c>
      <c r="K5">
        <v>0</v>
      </c>
      <c r="L5" t="s">
        <v>350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60</v>
      </c>
      <c r="U5">
        <v>0</v>
      </c>
      <c r="V5">
        <v>0</v>
      </c>
      <c r="W5" t="s">
        <v>569</v>
      </c>
      <c r="X5">
        <v>0</v>
      </c>
      <c r="Y5">
        <v>0</v>
      </c>
      <c r="Z5">
        <v>30</v>
      </c>
      <c r="AB5" t="s">
        <v>570</v>
      </c>
      <c r="AC5" t="s">
        <v>571</v>
      </c>
      <c r="AD5" t="s">
        <v>567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563</v>
      </c>
      <c r="AL5">
        <v>0</v>
      </c>
      <c r="AM5">
        <v>0</v>
      </c>
      <c r="AN5">
        <v>0</v>
      </c>
      <c r="AO5">
        <v>0</v>
      </c>
      <c r="AP5">
        <v>0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27</vt:i4>
      </vt:variant>
      <vt:variant>
        <vt:lpstr>Pojmenované oblasti</vt:lpstr>
      </vt:variant>
      <vt:variant>
        <vt:i4>20</vt:i4>
      </vt:variant>
    </vt:vector>
  </HeadingPairs>
  <TitlesOfParts>
    <vt:vector size="47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2026-01-02T19:09:05Z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