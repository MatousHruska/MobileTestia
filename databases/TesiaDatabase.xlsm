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BC2003AD-E410-4EEF-9376-6B45740B4424}" xr6:coauthVersionLast="47" xr6:coauthVersionMax="47" xr10:uidLastSave="{00000000-0000-0000-0000-000000000000}"/>
  <bookViews>
    <workbookView xWindow="-110" yWindow="-110" windowWidth="38620" windowHeight="21100" tabRatio="999" firstSheet="3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StatusEffects!$A$1:$N$1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EBE79B7-CD29-4384-A743-0D7D772CB46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C18B93AA-A6EC-4F34-8BF8-E70CD9160C2A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D003EE-CA75-4611-9FED-200CC149019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C2C236A-7D72-44A2-8489-4F3CA54FBB5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8827F2C-DD19-4072-AC2E-F5DDBF9BA163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90335F2-4DFD-4440-A27C-C7110BEFCD3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839846C-5B15-4695-B7A1-6D88812CCF0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C727F689-F6AA-41A2-8563-88788CDD77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3FC5234F-6A4B-4552-AC49-AA8920F51F6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4D8EBEB-9622-4733-B2A0-47260FA5163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D2D24FA-F6F5-4419-9948-5B04CC34447E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AEF44C8-0168-43E3-A75B-23BBE6FF374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9046CDB1-155C-45DE-AA6B-C38574C3DC85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8F99DEF-2E63-41A9-84A8-B84EC5A791EF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8D3ACA9B-A156-45FE-BD5B-E12502AEB4EE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84A74B95-C129-4796-AC67-32336CEF584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BC6085D-608B-4908-8CFA-8AA9AE9E835B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679755FC-03F0-4262-94AA-585090E5702E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9F70BEB0-002A-45F5-A386-DDEA9537B5B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C89C5539-5CBE-4AAB-8A67-31438CFE653D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6B704609-B03E-4EC2-9575-68FF4DF708D8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893025CE-3FD5-49C8-8BDD-A479E3191E3F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76261EFE-831A-48BA-A6F5-42CD46C5F0E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81E619-482E-4DF6-BEB6-30AA29155B9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F2ACFC72-2F24-459F-B17E-B42B9576A16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CF873D51-BB86-4AD2-BCF2-23B9D1E722B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BCB3F11E-7183-4FEC-AB9B-65C11D7CD816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CBD9BD77-37AE-48A1-8DEA-5E0415817979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C196D61E-B2D8-4525-A080-4AFB684CC598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24283CD-6584-4C65-97FA-D27AC91E67D2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61D261CD-591C-4728-9FA0-B9C147F660CE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7E44110A-227E-4A86-B68B-C668C91786F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62DB05A3-F335-40BC-B85F-F2256E1150EF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949F940-C201-4290-ABA6-73B1164E79D1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E95C0B55-326B-4DE6-A7D0-5217368C120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6CF6237-2739-4646-BB45-EBB6E54C7179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8939D0AB-3A81-47A9-9003-FFB9ED59ADBB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648F49F7-BF18-46AF-8291-6D8D1E6EEE7C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18F4A17F-A467-47FC-AA1E-72C7F833EB4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3D96C3A-34BC-48A9-8259-DBE75F4AAA5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8FABFB1-132C-4988-ADF6-418C298765F9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FF67F1E7-9435-40F1-B645-AE3A2CE53109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54A07CE-A6A1-49E4-ACF6-054AA1D6D94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7E64A392-8F71-4CB5-A626-D6BCCC44405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B714D1-ED14-4B93-BF62-0154D88EF97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719AF38-F6EB-4AA7-BF08-4435711D13D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2BA45C9F-C4A6-4F4A-811F-3910E645A69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FDAE556C-937C-46D6-A9B3-E6237E40287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F33424D-57ED-413E-88E9-BAE4EC1128C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8410B6-50F5-480B-A21C-07ABB3367CD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A56807D-3787-42D1-91E1-6A5D2AB0734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2FD4B17B-3B29-4EC2-B593-DDAB1C6ED0E2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3A23F9A-6E4D-4FDA-A6AD-45D9BCBEB4F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CFFEDFB-4700-4A05-9674-14EEF889E77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3BAA88E-BDEB-47FC-9369-A81A24A8D39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EBD3466-9E89-4C51-91F1-AA08C466E237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DF67E29D-99C1-4576-A910-9039FEE06769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0DAA8EC4-E02D-47E3-A3C6-93EA070BE04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CBF46190-6B96-454B-BC2A-0E3A6FBCEFB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C1384842-A427-4C25-95A8-667D2596327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4D18A5-00B2-4727-92DE-0EA1CB5F83D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791A310-C84A-4173-9557-EE32E4EA9C5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EAED0DF-0A31-4C27-8494-FB9C3FF72DB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179FE3E-FE6D-4959-ABD4-D13ECDDF1FEF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D4A57D53-EBBC-4528-A7A8-E2D12FE44187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0B2CC7-D5A9-4C8E-9F1F-9CE8FEC3853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F3299C43-4523-4A84-B79C-CAF38917AFA1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9C1CC53-A38D-4D47-AD60-2F4D7DA0736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95872D4-678A-4AD4-8695-C59FB4F0D5E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AE4CF3D-65E9-4E80-80F0-D0277814D2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36A320D-F39B-42BE-9914-6D4B92976125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FA2CAC2-968F-48F1-A8AF-956FC58D7B3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321A1C-FF96-4496-8CB6-BD2557ECA7F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BABAC2B-2754-4370-8C46-F6909C67190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0BAF5264-9BA2-476D-91C6-A2768F8E6B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562A71D-FBF8-48BC-A682-138C0356C5A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BE753C-1A9B-4DE2-985A-74FD752EA77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D317984-6DC2-4054-AC6A-A8A08FDF05AB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7D119B6-C56A-4CC8-9DF7-83407391EEB8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B0F166D-9726-4F0D-B6D8-EFDA2862F09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EE770010-6EA4-43C2-A05F-1BECB68C584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020E671-A94A-4024-89BA-4A4B5E3DE01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1892899-3539-416A-B0C6-F7588CB47E5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A8D4534-10DE-4FF4-AB0E-B5BCDEA577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B692210D-E3A8-40B4-9322-7AD51F2787A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D684B4C-C9EB-457A-B0BE-10327784F79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DFD56AA-B8D8-4AFE-8451-1941FFA8CB00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C760CD22-8A3E-437D-BC6B-472B93A45A2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E9F5DCCE-44FB-488B-B760-C553B5387C1B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748DEC-23EE-4068-A43E-0A324AFBEC2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6E893DB-BEBB-4CC1-AA3F-25677C87031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787BB784-0080-4519-AFA9-8B1F46B4AC2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AE2D48A5-FDCF-4F5D-AAA5-3C5F8B15340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650CEAD2-17B9-4743-A54B-B838FD35A3D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65C1A16-87E0-47E2-9BA9-8EBD7E3916E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F872D8DE-F767-4F15-9C58-7CD28126A52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B4970E09-5BA5-4BE5-B5BA-F47CA6E4B9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BBD0885-09D4-4A80-B2ED-326EC0D54797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03279D-9F1A-45D3-BB63-E1F545DFA45D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44BA5F3-5F9A-48F0-B636-FE25969834E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439EF08-B9CD-4EC8-8854-F12A2258E7B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8C20194-FCF4-4D2C-BD74-3A947D1A3A2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86C53F3-1C61-4836-9081-DA319EFBF2F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A6E7425-8319-45C0-BE97-1D28AD618D1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552A7F1-E90D-4CA9-9415-903FDDB457F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BABE9085-7397-4C32-BC90-40E47BBA305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572831A7-6305-45F0-BB64-DEF13F4F837E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DD6D69E-7D66-46E4-988D-96008E2E84A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531445D6-A85E-462B-9825-3DC8234DD4A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CC63DFE-A0D4-4289-8217-BF6CC703F55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346EDB9-8C19-438E-8239-BD179ABB4C6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888FEE-1F93-49A8-AD0F-CB876C15C78E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6B89D85-8FD3-464B-9488-80A0A99F33E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84A3FDBF-CFFE-4A3C-9FB5-FDB300BE8CB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2DA0F67-7A3A-4165-B30F-E2C4788256F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0D90832-42B7-47FD-88FA-20D156768990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EC6B034-078E-471E-AC3D-BADC3E9AAEA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9E0DC6-F9AE-4E25-AE60-6F93274C0631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670D7971-9682-49CE-A72A-486E71F6817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EE7CDDF-D6D7-4B0B-9942-F0AF4E930089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BE62D16-7C90-43B0-8873-29B0807B1C7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BC5085A-79D3-4A57-867F-7216D0CCD1A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EA5842C-5741-4688-943D-A9A792F5CB5B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AF5D028F-DC0B-44B0-971A-8006DA4F86F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38E46D2-AB7E-4683-8B5A-E24B9E6F447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34892100-C21A-4DD2-B374-CF5FF647621D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E47F033A-5CEE-4205-B332-138B66BE2B2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D59F68A-633B-4975-878B-31E0BAD7F5D4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0E550E3C-697A-4167-813B-F4B51C5FAA4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E3A31AD-F760-4F1E-A86F-A54A48DBEE4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78FACA3-5EB4-49B2-851D-F44DF9A7D6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FE0455B-D668-41BE-87EA-FA3F03944BC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5D2262C-D909-47E6-A357-2A49BB9EE57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2DE18006-591D-42F7-96D8-638F6063D16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080515-538A-468B-9DB3-742B7C0C846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07BD256-7083-4CF7-9426-CCCD6A9E063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D654661A-DDCF-455A-A439-3168C7ECC17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4C2AC2-F706-4C7A-BE6C-A09D8CBC437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5624A0E-F65C-44F2-A8C5-479FB34DF56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F611EAE-0997-4BE4-84D5-E1B2B844240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0EBC99-6038-4406-A404-DFA0AEE6C8EE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23BAC71-D3FB-4033-8AE9-B71FC8F89D0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0681F247-0C4F-4A44-B3ED-F31B18C276C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E409CD3B-A454-4A80-832B-FF7B7EDC9874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7998B96-1282-41B6-9C27-5699792C292D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400F53C-4790-42A9-9D66-D2CC84207C9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3BB07BE-C0CC-4805-8BA7-8674542EFAE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1E76FC1-E602-4EBD-84FD-F3A3219FC61F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388DFA5-4E54-4693-8F37-997F5240A79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0869CE19-AD63-4BB4-A017-EA100CC28CA1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BE12E9F-A997-4E8C-B143-F1B89042750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91E4BA48-2960-4069-87ED-8EE15424B693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1E10203A-F376-40E1-868E-17C5F38314E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2BFA192-B2DC-4691-8DE3-080A4E1C244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904237E2-902E-4D9E-822C-F7F9DFB78FE8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35CE99C8-6EC8-4DFC-8D97-7E212C7658D0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ED8BB621-854F-48C6-9195-522ED68FB0E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DA02756-D13F-488A-A025-B706C32F014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BB45F9DA-5B43-4A67-8750-B68DB6BA08FB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AB7A4667-AB2E-4446-87CA-451B7174B099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9ED6FB9-8F4B-407A-9E48-93AE47CA60ED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E785EC89-4252-4DA8-9E62-13B8EC8032F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B0073C62-7315-4D5A-9DE0-485B82335F5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0D28905A-71CD-4AFD-8B2F-B3DC8763CC5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4E25158-75D0-40B4-9558-C82D0F980A62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CD8BBA8-DD68-4F86-BF2E-626935AE71E6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82193650-34F9-46A2-907D-FBCF70B1504E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8962B89-87B9-4D32-80D2-87BEBFE2512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9EACBFF-D755-43A5-9253-5D3F4A71653D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C3175E6-A98C-422D-976C-7DD40CE79B81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0098B027-F441-4722-8C73-307A97D24447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<sst xmlns="http://schemas.openxmlformats.org/spreadsheetml/2006/main" count="2046" uniqueCount="1351">
  <si>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</si>
  <si>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</si>
  <si>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</si>
  <si>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</si>
  <si>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</si>
  <si>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</si>
  <si>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</si>
  <si>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</si>
  <si>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</si>
  <si>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</si>
  <si>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</si>
  <si>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</si>
  <si>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</si>
  <si>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</si>
  <si>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</si>
  <si>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</si>
  <si>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</si>
  <si>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</si>
  <si>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</si>
  <si>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</si>
  <si>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</si>
  <si>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</si>
  <si>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</si>
  <si>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</si>
  <si>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</si>
  <si>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</si>
  <si>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</si>
  <si>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</si>
  <si>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</si>
  <si>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</si>
  <si>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</si>
  <si>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</si>
  <si>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</si>
  <si>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</si>
  <si>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</si>
  <si>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</si>
  <si>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</si>
  <si>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</si>
  <si>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</si>
  <si>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</si>
  <si>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</si>
  <si>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</si>
  <si>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</si>
  <si>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</si>
  <si>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</si>
  <si>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</si>
  <si>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</si>
  <si>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</si>
  <si>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</si>
  <si>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</si>
  <si>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</si>
  <si>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</si>
  <si>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</si>
  <si>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</si>
  <si>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</si>
  <si>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</si>
  <si>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</si>
  <si>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</si>
  <si>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</si>
  <si>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</si>
  <si>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</si>
  <si>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</si>
  <si>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</si>
  <si>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</si>
  <si>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</si>
  <si>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</si>
  <si>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</si>
  <si>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</si>
  <si>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</si>
  <si>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</si>
  <si>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</si>
  <si>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</si>
  <si>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</si>
  <si>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</si>
  <si>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</si>
  <si>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</si>
  <si>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</si>
  <si>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</si>
  <si>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</si>
  <si>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</si>
  <si>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</si>
  <si>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</si>
  <si>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</si>
  <si>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</si>
  <si>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</si>
  <si>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</si>
  <si>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</si>
  <si>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</si>
  <si>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</si>
  <si>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</si>
  <si>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</si>
  <si>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</si>
  <si>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</si>
  <si>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</si>
  <si>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</si>
  <si>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</si>
  <si>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</si>
  <si>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</si>
  <si>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</si>
  <si>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</si>
  <si>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</si>
  <si>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</si>
  <si>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</si>
  <si>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</si>
  <si>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</si>
  <si>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</si>
  <si>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</si>
  <si>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</si>
  <si>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</si>
  <si>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</si>
  <si>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</si>
  <si>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</si>
  <si>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</si>
  <si>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</si>
  <si>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</si>
  <si>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</si>
  <si>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</si>
  <si>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</si>
  <si>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</si>
  <si>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</si>
  <si>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</si>
  <si>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</si>
  <si>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</si>
  <si>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</si>
  <si>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</si>
  <si>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</si>
  <si>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</si>
  <si>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</si>
  <si>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</si>
  <si>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</si>
  <si>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</si>
  <si>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</si>
  <si>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</si>
  <si>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</si>
  <si>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</si>
  <si>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</si>
  <si>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</si>
  <si>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</si>
  <si>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</si>
  <si>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</si>
  <si>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</si>
  <si>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</si>
  <si>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</si>
  <si>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</si>
  <si>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</si>
  <si>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</si>
  <si>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</si>
  <si>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</si>
  <si>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</si>
  <si>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</si>
  <si>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</si>
  <si>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</si>
  <si>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</si>
  <si>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</si>
  <si>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</si>
  <si>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</si>
  <si>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</si>
  <si>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</si>
  <si>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</si>
  <si>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</si>
  <si>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</si>
  <si>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</si>
  <si>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</si>
  <si>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</si>
  <si>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</si>
  <si>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</si>
  <si>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</si>
  <si>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</si>
  <si>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</si>
  <si>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</si>
  <si>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</si>
  <si>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</si>
  <si>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</si>
  <si>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</si>
  <si>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</si>
  <si>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</si>
  <si>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</si>
  <si>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</si>
  <si>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</si>
  <si>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</si>
  <si>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</si>
  <si>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</si>
  <si>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</si>
  <si>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</si>
  <si>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</si>
  <si>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</si>
  <si>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</si>
  <si>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</si>
  <si>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</si>
  <si>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</si>
  <si>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</si>
  <si>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</si>
  <si>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</si>
  <si>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</si>
  <si>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</si>
  <si>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</si>
  <si>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</si>
  <si>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</si>
  <si>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</si>
  <si>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</si>
  <si>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</si>
  <si>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</si>
  <si>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</si>
  <si>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</si>
  <si>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</si>
  <si>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</si>
  <si>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</si>
  <si>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</si>
  <si>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</si>
  <si>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</si>
  <si>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</si>
  <si>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</si>
  <si>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</si>
  <si>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</si>
  <si>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</si>
  <si>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</si>
  <si>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</si>
  <si>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</si>
  <si>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</si>
  <si>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</si>
  <si>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</si>
  <si>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</si>
  <si>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</si>
  <si>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</si>
  <si>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</si>
  <si>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</si>
  <si>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</si>
  <si>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</si>
  <si>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</si>
  <si>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</si>
  <si>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</si>
  <si>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</si>
  <si>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</si>
  <si>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</si>
  <si>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</si>
  <si>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</si>
  <si>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</si>
  <si>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</si>
  <si>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</si>
  <si>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</si>
  <si>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</si>
  <si>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</si>
  <si>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</si>
  <si>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</si>
  <si>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</si>
  <si>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</si>
  <si>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</si>
  <si>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</si>
  <si>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</si>
  <si>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</si>
  <si>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</si>
  <si>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</si>
  <si>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</si>
  <si>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</si>
  <si>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</si>
  <si>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</si>
  <si>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</si>
  <si>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</si>
  <si>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</si>
  <si>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</si>
  <si>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</si>
  <si>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</si>
  <si>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</si>
  <si>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</si>
  <si>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</si>
  <si>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</si>
  <si>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</si>
  <si>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</si>
  <si>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</si>
  <si>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</si>
  <si>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</si>
  <si>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</si>
  <si>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</si>
  <si>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</si>
  <si>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</si>
  <si>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</si>
  <si>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</si>
  <si>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</si>
  <si>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</si>
  <si>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</si>
  <si>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</si>
  <si>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</si>
  <si>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</si>
  <si>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</si>
  <si>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</si>
  <si>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</si>
  <si>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</si>
  <si>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</si>
  <si>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</si>
  <si>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</si>
  <si>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</si>
  <si>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</si>
  <si>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</si>
  <si>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</si>
  <si>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</si>
  <si>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</si>
  <si>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</si>
  <si>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</si>
  <si>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</si>
  <si>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</si>
  <si>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</si>
  <si>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</si>
  <si>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</si>
  <si>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</si>
  <si>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</si>
  <si>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</si>
  <si>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</si>
  <si>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</si>
  <si>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</si>
  <si>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</si>
  <si>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</si>
  <si>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</si>
  <si>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</si>
  <si>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</si>
  <si>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</si>
  <si>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</si>
  <si>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</si>
  <si>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</si>
  <si>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</si>
  <si>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</si>
  <si>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</si>
  <si>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</si>
  <si>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</si>
  <si>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</si>
  <si>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</si>
  <si>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</si>
  <si>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</si>
  <si>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</si>
  <si>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</si>
  <si>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</si>
  <si>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</si>
  <si>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</si>
  <si>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</si>
  <si>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</si>
  <si>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</si>
  <si>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</si>
  <si>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</si>
  <si>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</si>
  <si>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</si>
  <si>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</si>
  <si>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</si>
  <si>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</si>
  <si>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</si>
  <si>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</si>
  <si>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</si>
  <si>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</si>
  <si>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</si>
  <si>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</si>
  <si>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</si>
  <si>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</si>
  <si>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</si>
  <si>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</si>
  <si>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</si>
  <si>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</si>
  <si>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</si>
  <si>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</si>
  <si>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</si>
  <si>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</si>
  <si>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</si>
  <si>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</si>
  <si>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</si>
  <si>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</si>
  <si>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</si>
  <si>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</si>
  <si>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</si>
  <si>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</si>
  <si>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</si>
  <si>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</si>
  <si>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</si>
  <si>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</si>
  <si>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</si>
  <si>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</si>
  <si>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</si>
  <si>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</si>
  <si>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</si>
  <si>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</si>
  <si>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</si>
  <si>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</si>
  <si>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</si>
  <si>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</si>
  <si>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</si>
  <si>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</si>
  <si>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</si>
  <si>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</si>
  <si>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</si>
  <si>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</si>
  <si>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</si>
  <si>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</si>
  <si>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</si>
  <si>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</si>
  <si>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</si>
  <si>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</si>
  <si>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</si>
  <si>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</si>
  <si>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</si>
  <si>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</si>
  <si>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</si>
  <si>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</si>
  <si>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</si>
  <si>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</si>
  <si>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</si>
  <si>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</si>
  <si>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</si>
  <si>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</si>
  <si>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</si>
  <si>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</si>
  <si>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</si>
  <si>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</si>
  <si>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</si>
  <si>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</si>
  <si>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</si>
  <si>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</si>
  <si>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</si>
  <si>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</si>
  <si>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</si>
  <si>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</si>
  <si>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</si>
  <si>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</si>
  <si>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</si>
  <si>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</si>
  <si>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</si>
  <si>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</si>
  <si>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</si>
  <si>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</si>
  <si>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</si>
  <si>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</si>
  <si>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</si>
  <si>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</si>
  <si>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</si>
  <si>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</si>
  <si>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</si>
  <si>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</si>
  <si>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</si>
  <si>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</si>
  <si>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</si>
  <si>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</si>
  <si>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</si>
  <si>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</si>
  <si>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</si>
  <si>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</si>
  <si>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</si>
  <si>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</si>
  <si>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</si>
  <si>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</si>
  <si>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</si>
  <si>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</si>
  <si>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</si>
  <si>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</si>
  <si>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</si>
  <si>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</si>
  <si>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</si>
  <si>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</si>
  <si>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</si>
  <si>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</si>
  <si>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</si>
  <si>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</si>
  <si>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</si>
  <si>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</si>
  <si>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</si>
  <si>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</si>
  <si>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</si>
  <si>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</si>
  <si>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</si>
  <si>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</si>
  <si>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</si>
  <si>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</si>
  <si>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</si>
  <si>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</si>
  <si>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</si>
  <si>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</si>
  <si>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</si>
  <si>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</si>
  <si>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</si>
  <si>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</si>
  <si>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</si>
  <si>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</si>
  <si>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</si>
  <si>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</si>
  <si>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</si>
  <si>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</si>
  <si>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</si>
  <si>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</si>
  <si>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</si>
  <si>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</si>
  <si>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</si>
  <si>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</si>
  <si>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</si>
  <si>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</si>
  <si>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</si>
  <si>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</si>
  <si>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</si>
  <si>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</si>
  <si>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</si>
  <si>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</si>
  <si>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</si>
  <si>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</si>
  <si>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</si>
  <si>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</si>
  <si>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</si>
  <si>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</si>
  <si>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</si>
  <si>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</si>
  <si>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</si>
  <si>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</si>
  <si>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</si>
  <si>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</si>
  <si>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</si>
  <si>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</si>
  <si>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</si>
  <si>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</si>
  <si>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</si>
  <si>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</si>
  <si>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</si>
  <si>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</si>
  <si>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</si>
  <si>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</si>
  <si>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</si>
  <si>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</si>
  <si>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</si>
  <si>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</si>
  <si>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</si>
  <si>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</si>
  <si>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</si>
  <si>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</si>
  <si>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</si>
  <si>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</si>
  <si>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</si>
  <si>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</si>
  <si>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</si>
  <si>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</si>
  <si>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</si>
  <si>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</si>
  <si>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</si>
  <si>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</si>
  <si>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</si>
  <si>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</si>
  <si>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</si>
  <si>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</si>
  <si>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</si>
  <si>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</si>
  <si>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</si>
  <si>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</si>
  <si>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</si>
  <si>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</si>
  <si>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</si>
  <si>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</si>
  <si>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</si>
  <si>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</si>
  <si>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</si>
  <si>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</si>
  <si>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</si>
  <si>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</si>
  <si>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</si>
  <si>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</si>
  <si>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</si>
  <si>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</si>
  <si>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</si>
  <si>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</si>
  <si>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</si>
  <si>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</si>
  <si>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</si>
  <si>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</si>
  <si>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</si>
  <si>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</si>
  <si>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</si>
  <si>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</si>
  <si>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</si>
  <si>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</si>
  <si>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</si>
  <si>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</si>
  <si>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</si>
  <si>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</si>
  <si>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</si>
  <si>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</si>
  <si>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</si>
  <si>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</si>
  <si>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</si>
  <si>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</si>
  <si>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</si>
  <si>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</si>
  <si>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</si>
  <si>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</si>
  <si>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</si>
  <si>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</si>
  <si>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</si>
  <si>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</si>
  <si>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</si>
  <si>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</si>
  <si>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</si>
  <si>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</si>
  <si>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</si>
  <si>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</si>
  <si>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</si>
  <si>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</si>
  <si>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</si>
  <si>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</si>
  <si>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</si>
  <si>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</si>
  <si>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</si>
  <si>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</si>
  <si>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</si>
  <si>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</si>
  <si>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</si>
  <si>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</si>
  <si>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</si>
  <si>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</si>
  <si>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</si>
  <si>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</si>
  <si>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</si>
  <si>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</si>
  <si>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</si>
  <si>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</si>
  <si>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</si>
  <si>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</si>
  <si>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</si>
  <si>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</si>
  <si>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</si>
  <si>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</si>
  <si>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</si>
  <si>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</si>
  <si>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</si>
  <si>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</si>
  <si>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</si>
  <si>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</si>
  <si>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</si>
  <si>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</si>
  <si>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</si>
  <si>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</si>
  <si>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</si>
  <si>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</si>
  <si>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</si>
  <si>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</si>
  <si>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</si>
  <si>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</si>
  <si>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</si>
  <si>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</si>
  <si>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</si>
  <si>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</si>
  <si>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</si>
  <si>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</si>
  <si>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</si>
  <si>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</si>
  <si>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</si>
  <si>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</si>
  <si>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</si>
  <si>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</si>
  <si>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</si>
  <si>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</si>
  <si>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</si>
  <si>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</si>
  <si>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</si>
  <si>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</si>
  <si>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</si>
  <si>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</si>
  <si>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</si>
  <si>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</si>
  <si>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</si>
  <si>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</si>
  <si>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</si>
  <si>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</si>
  <si>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</si>
  <si>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</si>
  <si>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</si>
  <si>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</si>
  <si>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</si>
  <si>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</si>
  <si>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</si>
  <si>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</si>
  <si>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</si>
  <si>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</si>
  <si>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</si>
  <si>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</si>
  <si>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</si>
  <si>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</si>
  <si>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</si>
  <si>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</si>
  <si>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</si>
  <si>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</si>
  <si>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</si>
  <si>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</si>
  <si>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</si>
  <si>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</si>
  <si>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</si>
  <si>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</si>
  <si>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</si>
  <si>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</si>
  <si>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</si>
  <si>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</si>
  <si>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</si>
  <si>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</si>
  <si>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</si>
  <si>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</si>
  <si>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</si>
  <si>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</si>
  <si>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</si>
  <si>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</si>
  <si>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</si>
  <si>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</si>
  <si>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</si>
  <si>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</si>
  <si>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</si>
  <si>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</si>
  <si>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</si>
  <si>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</si>
  <si>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</si>
  <si>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</si>
  <si>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</si>
  <si>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</si>
  <si>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</si>
  <si>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</si>
  <si>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</si>
  <si>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</si>
  <si>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</si>
  <si>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</si>
  <si>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</si>
  <si>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</si>
  <si>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</si>
  <si>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</si>
  <si>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</si>
  <si>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</si>
  <si>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</si>
  <si>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</si>
  <si>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</si>
  <si>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</si>
  <si>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</si>
  <si>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</si>
  <si>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</si>
  <si>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</si>
  <si>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</si>
  <si>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</si>
  <si>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</si>
  <si>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</si>
  <si>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</si>
  <si>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</si>
  <si>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</si>
  <si>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</si>
  <si>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</si>
  <si>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</si>
  <si>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</si>
  <si>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</si>
  <si>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</si>
  <si>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</si>
  <si>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</si>
  <si>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</si>
  <si>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</si>
  <si>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</si>
  <si>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</si>
  <si>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</si>
  <si>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</si>
  <si>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</si>
  <si>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</si>
  <si>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</si>
  <si>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</si>
  <si>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</si>
  <si>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</si>
  <si>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</si>
  <si>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</si>
  <si>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</si>
  <si>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</si>
  <si>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</si>
  <si>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</si>
  <si>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</si>
  <si>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</si>
  <si>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</si>
  <si>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</si>
  <si>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</si>
  <si>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</si>
  <si>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</si>
  <si>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</si>
  <si>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</si>
  <si>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</si>
  <si>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</si>
  <si>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</si>
  <si>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</si>
  <si>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</si>
  <si>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</si>
  <si>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</si>
  <si>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</si>
  <si>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</si>
  <si>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</si>
  <si>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</si>
  <si>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</si>
  <si>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</si>
  <si>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</si>
  <si>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</si>
  <si>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</si>
  <si>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</si>
  <si>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</si>
  <si>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</si>
  <si>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</si>
  <si>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</si>
  <si>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</si>
  <si>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</si>
  <si>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</si>
  <si>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</si>
  <si>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</si>
  <si>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</si>
  <si>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</si>
  <si>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</si>
  <si>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</si>
  <si>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</si>
  <si>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</si>
  <si>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</si>
  <si>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</si>
  <si>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</si>
  <si>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</si>
  <si>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</si>
  <si>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</si>
  <si>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</si>
  <si>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</si>
  <si>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</si>
  <si>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</si>
  <si>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</si>
  <si>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</si>
  <si>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</si>
  <si>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</si>
  <si>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</si>
  <si>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</si>
  <si>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</si>
  <si>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</si>
  <si>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</si>
  <si>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</si>
  <si>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</si>
  <si>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</si>
  <si>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</si>
  <si>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</si>
  <si>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</si>
  <si>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</si>
  <si>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</si>
  <si>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</si>
  <si>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</si>
  <si>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</si>
  <si>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</si>
  <si>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</si>
  <si>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</si>
  <si>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</si>
  <si>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</si>
  <si>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</si>
  <si>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</si>
  <si>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</si>
  <si>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</si>
  <si>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</si>
  <si>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</si>
  <si>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</si>
  <si>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</si>
  <si>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</si>
  <si>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</si>
  <si>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</si>
  <si>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</si>
  <si>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</si>
  <si>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</si>
  <si>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</si>
  <si>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</si>
  <si>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</si>
  <si>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</si>
  <si>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</si>
  <si>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</si>
  <si>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</si>
  <si>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</si>
  <si>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</si>
  <si>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</si>
  <si>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</si>
  <si>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</si>
  <si>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</si>
  <si>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</si>
  <si>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</si>
  <si>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</si>
  <si>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</si>
  <si>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</si>
  <si>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</si>
  <si>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</si>
  <si>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</si>
  <si>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</si>
  <si>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</si>
  <si>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</si>
  <si>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</si>
  <si>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</si>
  <si>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</si>
  <si>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</si>
  <si>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</si>
  <si>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</si>
  <si>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</si>
  <si>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</si>
  <si>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</si>
  <si>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</si>
  <si>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</si>
  <si>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</si>
  <si>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</si>
  <si>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</si>
  <si>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</si>
  <si>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</si>
  <si>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</si>
  <si>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</si>
  <si>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</si>
  <si>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</si>
  <si>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</si>
  <si>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</si>
  <si>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</si>
  <si>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</si>
  <si>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</si>
  <si>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</si>
  <si>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</si>
  <si>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</si>
  <si>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</si>
  <si>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</si>
  <si>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</si>
  <si>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</si>
  <si>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</si>
  <si>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</si>
  <si>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</si>
  <si>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</si>
  <si>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</si>
  <si>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</si>
  <si>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</si>
  <si>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</si>
  <si>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</si>
  <si>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</si>
  <si>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</si>
  <si>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</si>
  <si>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</si>
  <si>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</si>
  <si>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</si>
  <si>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</si>
  <si>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</si>
  <si>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</si>
  <si>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</si>
  <si>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</si>
  <si>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</si>
  <si>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</si>
  <si>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</si>
  <si>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</si>
  <si>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</si>
  <si>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</si>
  <si>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</si>
  <si>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</si>
  <si>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</si>
  <si>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</si>
  <si>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</si>
  <si>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</si>
  <si>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</si>
  <si>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</si>
  <si>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</si>
  <si>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</si>
  <si>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</si>
  <si>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</si>
  <si>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</si>
  <si>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</si>
  <si>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</si>
  <si>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</si>
  <si>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</si>
  <si>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</si>
  <si>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</si>
  <si>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</si>
  <si>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</si>
  <si>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</si>
  <si>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</si>
  <si>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</si>
  <si>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</si>
  <si>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</si>
  <si>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</si>
  <si>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</si>
  <si>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</si>
  <si>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</si>
  <si>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</si>
  <si>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</si>
  <si>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</si>
  <si>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</si>
  <si>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</si>
  <si>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</si>
  <si>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</si>
  <si>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</si>
  <si>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</si>
  <si>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</si>
  <si>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</si>
  <si>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</si>
  <si>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</si>
  <si>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</si>
  <si>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</si>
  <si>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</si>
  <si>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</si>
  <si>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</si>
  <si>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</si>
  <si>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</si>
  <si>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</si>
  <si>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</si>
  <si>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</si>
  <si>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</si>
  <si>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</si>
  <si>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</si>
  <si>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</si>
  <si>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</si>
  <si>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</si>
  <si>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</si>
  <si>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</si>
  <si>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</si>
  <si>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</si>
  <si>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</si>
  <si>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</si>
  <si>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</si>
  <si>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</si>
  <si>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</si>
  <si>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</si>
  <si>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</si>
  <si>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</si>
  <si>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</si>
  <si>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</si>
  <si>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</si>
  <si>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</si>
  <si>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</si>
  <si>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</si>
  <si>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</si>
  <si>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</si>
  <si>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</si>
  <si>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</si>
  <si>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</si>
  <si>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</si>
  <si>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</si>
  <si>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</si>
  <si>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</si>
  <si>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</si>
  <si>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</si>
  <si>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</si>
  <si>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</si>
  <si>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</si>
  <si>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</si>
  <si>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</si>
  <si>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</si>
  <si>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</si>
  <si>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</si>
  <si>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</si>
  <si>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</si>
  <si>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</si>
  <si>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</si>
  <si>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</si>
  <si>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</si>
  <si>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</si>
  <si>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</si>
  <si>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</si>
  <si>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</si>
  <si>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</si>
  <si>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</si>
  <si>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</si>
  <si>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</si>
  <si>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</si>
  <si>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</si>
  <si>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</si>
  <si>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</si>
  <si>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</si>
  <si>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</si>
  <si>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</si>
  <si>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</si>
  <si>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</si>
  <si>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</si>
  <si>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</si>
  <si>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</si>
  <si>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</si>
  <si>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</si>
  <si>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</si>
  <si>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</si>
  <si>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</si>
  <si>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</si>
  <si>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</si>
  <si>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</si>
  <si>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</si>
  <si>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</si>
  <si>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</si>
  <si>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</si>
  <si>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</si>
  <si>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</si>
  <si>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</si>
  <si>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</si>
  <si>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</si>
  <si>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</si>
  <si>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</si>
  <si>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</si>
  <si>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</si>
  <si>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</si>
  <si>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</si>
  <si>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</si>
  <si>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</si>
  <si>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</si>
  <si>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</si>
  <si>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</si>
  <si>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</si>
  <si>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</si>
  <si>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</si>
  <si>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</si>
  <si>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</si>
  <si>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</si>
  <si>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</si>
  <si>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</si>
  <si>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</si>
  <si>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</si>
  <si>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</si>
  <si>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</si>
  <si>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</si>
  <si>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</si>
  <si>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</si>
  <si>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</si>
  <si>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</si>
  <si>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</si>
  <si>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</si>
  <si>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</si>
  <si>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</si>
  <si>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</si>
  <si>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</si>
  <si>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</si>
  <si>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</si>
  <si>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</si>
  <si>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</si>
  <si>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</si>
  <si>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</si>
  <si>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</si>
  <si>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</si>
  <si>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</si>
  <si>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</si>
  <si>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</si>
  <si>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</si>
  <si>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</si>
  <si>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</si>
  <si>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</si>
  <si>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</si>
  <si>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</si>
  <si>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</si>
  <si>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</si>
  <si>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</si>
  <si>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</si>
  <si>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</si>
  <si>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</si>
  <si>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</si>
  <si>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</si>
  <si>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</si>
  <si>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</si>
  <si>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</si>
  <si>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</si>
  <si>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</si>
  <si>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</si>
  <si>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</si>
  <si>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</si>
  <si>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</si>
  <si>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</si>
  <si>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</si>
  <si>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</si>
  <si>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</si>
  <si>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</si>
  <si>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</si>
  <si>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</si>
  <si>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</si>
  <si>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</si>
  <si>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</si>
  <si>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</si>
  <si>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</si>
  <si>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</si>
  <si>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</si>
  <si>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</si>
  <si>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</si>
  <si>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</si>
  <si>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</si>
  <si>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</si>
  <si>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</si>
  <si>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</si>
  <si>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</si>
  <si>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</si>
  <si>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</si>
  <si>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</si>
  <si>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</si>
  <si>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</si>
  <si>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</si>
  <si>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</si>
  <si>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</si>
  <si>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</si>
  <si>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</si>
  <si>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</si>
  <si>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</si>
  <si>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</si>
  <si>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</si>
  <si>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</si>
  <si>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</si>
  <si>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</si>
  <si>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</si>
  <si>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</si>
  <si>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</si>
  <si>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</si>
  <si>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</si>
  <si>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</si>
  <si>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</si>
  <si>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</si>
  <si>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</si>
  <si>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</si>
  <si>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</si>
  <si>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</si>
  <si>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</si>
  <si>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</si>
  <si>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</si>
  <si>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</si>
  <si>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</si>
  <si>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</si>
  <si>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</si>
  <si>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</si>
  <si>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</si>
  <si>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</si>
  <si>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</si>
  <si>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</si>
  <si>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</si>
  <si>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</si>
  <si>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</si>
  <si>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</si>
  <si>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</si>
  <si>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</si>
  <si>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</si>
  <si>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</si>
  <si>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</si>
  <si>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</si>
  <si>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</si>
  <si>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</si>
  <si>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</si>
  <si>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</si>
  <si>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</si>
  <si>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</si>
  <si>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</si>
  <si>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</si>
  <si>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</si>
  <si>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</si>
  <si>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</si>
  <si>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</si>
  <si>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</si>
  <si>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</si>
  <si>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</si>
  <si>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</si>
  <si>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</si>
  <si>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</si>
  <si>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</si>
  <si>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</si>
  <si>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</si>
  <si>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</si>
  <si>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</si>
  <si>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</si>
  <si>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</si>
  <si>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</si>
  <si>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</si>
  <si>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</si>
  <si>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</si>
  <si>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</si>
  <si>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</si>
  <si>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</si>
  <si>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</si>
  <si>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</si>
  <si>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</si>
  <si>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</si>
  <si>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</si>
  <si>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</si>
  <si>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</si>
  <si>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</si>
  <si>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</si>
  <si>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</si>
  <si>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</si>
  <si>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</si>
  <si>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</si>
  <si>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</si>
  <si>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</si>
  <si>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</si>
  <si>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</si>
  <si>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</si>
  <si>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</si>
  <si>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</si>
  <si>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</si>
  <si>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</si>
  <si>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</si>
  <si>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</si>
  <si>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</si>
  <si>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</si>
  <si>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</si>
  <si>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</si>
  <si>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</si>
  <si>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</si>
  <si>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</si>
  <si>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</si>
  <si>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</si>
  <si>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</si>
  <si>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</si>
  <si>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</si>
  <si>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</si>
  <si>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</si>
  <si>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</si>
  <si>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</si>
  <si>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</si>
  <si>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</si>
  <si>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</si>
  <si>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</si>
  <si>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</si>
  <si>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</si>
  <si>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</si>
  <si>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</si>
  <si>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</si>
  <si>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</si>
  <si>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</si>
  <si>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</si>
  <si>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</si>
  <si>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</si>
  <si>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</si>
  <si>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</si>
  <si>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</si>
  <si>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</si>
  <si>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</si>
  <si>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</si>
  <si>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</si>
  <si>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</si>
  <si>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</si>
  <si>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</si>
  <si>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</si>
  <si>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</si>
  <si>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</si>
  <si>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</si>
  <si>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</si>
  <si>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</si>
  <si>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</si>
  <si>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</si>
  <si>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</si>
  <si>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</si>
  <si>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</si>
  <si>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</si>
  <si>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</si>
  <si>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mod_on_hit_cast</t>
  </si>
  <si>
    <t>On Hit Cast</t>
  </si>
  <si>
    <t>special</t>
  </si>
  <si>
    <t>Cast ability when dealing damage to target</t>
  </si>
  <si>
    <t>res://scripts/npc/ai/modules/on_hit_cast_module.gd</t>
  </si>
  <si>
    <t>{"ability_id": "", "condition": "", "cast_chance": 1.0, "aoe_buff_radius": 150}</t>
  </si>
  <si>
    <t>status_blood_frenzy</t>
  </si>
  <si>
    <t>Blood Frenzy</t>
  </si>
  <si>
    <t>blood_particles</t>
  </si>
  <si>
    <t>#8B0000</t>
  </si>
  <si>
    <t>player_full_health</t>
  </si>
  <si>
    <t>Wolves become faster and more aggressive when they smell blood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</si>
  <si>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</si>
  <si>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</si>
  <si>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</si>
  <si>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</si>
  <si>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</si>
  <si>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</si>
  <si>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</si>
  <si>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</si>
  <si>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</si>
  <si>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</si>
  <si>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</si>
  <si>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mod_target_detection,mod_pack_alert,mod_on_hit_cast,mod_leash,mod_chase,mod_surround,mod_circle,mod_combat,mod_idle</t>
  </si>
  <si>
    <t>A desperate, hungry wolf. Circles prey before leaping.</t>
  </si>
  <si>
    <t>never</t>
  </si>
  <si>
    <t>Starved Wolf Loot</t>
  </si>
  <si>
    <t>{"mod_on_hit_cast": {"ability_id": "abi_blood_howl", "condition": "self_not_buffed:blood_frenzy"}, "mod_circle": {"circle_radius": 140, "circle_speed_mult": 0.8}}</t>
  </si>
  <si>
    <t>cast_while_moving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</si>
</sst>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topLeftCell="C1" zoomScale="85" zoomScaleNormal="85" workbookViewId="0">
      <selection activeCell="P21" sqref="P21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5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1313</v>
      </c>
      <c r="N6" s="43" t="s">
        <v>1314</v>
      </c>
      <c r="O6" s="43"/>
    </row>
    <row r="7" spans="1:15" ht="29" x14ac:dyDescent="0.35">
      <c r="A7" s="46" t="s">
        <v>1272</v>
      </c>
      <c r="B7" s="47" t="s">
        <v>1273</v>
      </c>
      <c r="C7" s="47" t="s">
        <v>175</v>
      </c>
      <c r="D7" s="47">
        <v>35</v>
      </c>
      <c r="E7" s="47">
        <v>2</v>
      </c>
      <c r="F7" s="47">
        <v>0</v>
      </c>
      <c r="G7" s="47">
        <v>0</v>
      </c>
      <c r="H7" s="47">
        <v>60</v>
      </c>
      <c r="I7" s="47">
        <v>1</v>
      </c>
      <c r="J7" s="43">
        <v>300</v>
      </c>
      <c r="K7" s="47">
        <v>25</v>
      </c>
      <c r="L7" s="47" t="s">
        <v>1274</v>
      </c>
      <c r="M7" s="47" t="s">
        <v>1275</v>
      </c>
      <c r="N7" s="47" t="s">
        <v>1307</v>
      </c>
      <c r="O7" s="47"/>
    </row>
    <row r="8" spans="1:15" ht="29" x14ac:dyDescent="0.35">
      <c r="A8" s="46" t="s">
        <v>1276</v>
      </c>
      <c r="B8" s="47" t="s">
        <v>1277</v>
      </c>
      <c r="C8" s="47" t="s">
        <v>1278</v>
      </c>
      <c r="D8" s="47">
        <v>500</v>
      </c>
      <c r="E8" s="47">
        <v>3</v>
      </c>
      <c r="F8" s="47">
        <v>20</v>
      </c>
      <c r="G8" s="47">
        <v>0</v>
      </c>
      <c r="H8" s="47">
        <v>50</v>
      </c>
      <c r="I8" s="47" t="s">
        <v>136</v>
      </c>
      <c r="J8" s="43">
        <v>300</v>
      </c>
      <c r="K8" s="47">
        <v>500</v>
      </c>
      <c r="L8" s="47" t="s">
        <v>1279</v>
      </c>
      <c r="M8" s="47" t="s">
        <v>1280</v>
      </c>
      <c r="N8" s="47"/>
      <c r="O8" s="47"/>
    </row>
    <row r="9" spans="1:15" ht="43.5" x14ac:dyDescent="0.35">
      <c r="A9" s="46" t="s">
        <v>1342</v>
      </c>
      <c r="B9" s="47" t="s">
        <v>1343</v>
      </c>
      <c r="C9" s="47" t="s">
        <v>175</v>
      </c>
      <c r="D9" s="47">
        <v>40</v>
      </c>
      <c r="E9" s="47">
        <v>8</v>
      </c>
      <c r="F9" s="47">
        <v>0</v>
      </c>
      <c r="G9" s="47">
        <v>0</v>
      </c>
      <c r="H9" s="47">
        <v>70</v>
      </c>
      <c r="I9" s="47" t="s">
        <v>127</v>
      </c>
      <c r="J9" s="47">
        <v>250</v>
      </c>
      <c r="K9" s="47">
        <v>15</v>
      </c>
      <c r="L9" s="47" t="s">
        <v>1344</v>
      </c>
      <c r="M9" s="47" t="s">
        <v>1345</v>
      </c>
      <c r="N9" s="47" t="s">
        <v>1349</v>
      </c>
      <c r="O9" s="47" t="s">
        <v>1346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3"/>
  <sheetViews>
    <sheetView workbookViewId="0">
      <selection activeCell="G13" sqref="G13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1322</v>
      </c>
      <c r="B13" t="s">
        <v>1323</v>
      </c>
      <c r="C13" t="s">
        <v>1324</v>
      </c>
      <c r="D13" t="s">
        <v>1325</v>
      </c>
      <c r="E13" t="s">
        <v>1326</v>
      </c>
      <c r="F13">
        <v>92</v>
      </c>
      <c r="G13" t="s">
        <v>1327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1342</v>
      </c>
      <c r="B15" t="s">
        <v>1334</v>
      </c>
      <c r="C15">
        <v>100</v>
      </c>
      <c r="D15" t="s">
        <v>1248</v>
      </c>
    </row>
    <row r="16" spans="1:7" x14ac:dyDescent="0.35">
      <c r="A16" t="s">
        <v>1342</v>
      </c>
      <c r="B16" t="s">
        <v>1338</v>
      </c>
      <c r="C16">
        <v>150</v>
      </c>
      <c r="D16" t="s">
        <v>1347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tabSelected="1" workbookViewId="0">
      <selection activeCell="L27" sqref="L27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16.90625" customWidth="1"/>
    <col min="15" max="15" width="29.54296875" customWidth="1"/>
    <col min="16" max="16" width="16.9062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1350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1334</v>
      </c>
      <c r="B9" t="s">
        <v>1335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0</v>
      </c>
      <c r="L9" t="s">
        <v>1232</v>
      </c>
      <c r="M9">
        <v>80</v>
      </c>
      <c r="O9" t="s">
        <v>1223</v>
      </c>
      <c r="P9" t="s">
        <v>1336</v>
      </c>
      <c r="Q9" t="s">
        <v>1337</v>
      </c>
    </row>
    <row r="10" spans="1:17" x14ac:dyDescent="0.35">
      <c r="A10" t="s">
        <v>1338</v>
      </c>
      <c r="B10" t="s">
        <v>1339</v>
      </c>
      <c r="C10" t="s">
        <v>1242</v>
      </c>
      <c r="D10" s="39">
        <v>0</v>
      </c>
      <c r="F10">
        <v>0</v>
      </c>
      <c r="G10">
        <v>0</v>
      </c>
      <c r="H10" t="s">
        <v>259</v>
      </c>
      <c r="J10">
        <v>0</v>
      </c>
      <c r="K10">
        <v>150</v>
      </c>
      <c r="M10">
        <v>0</v>
      </c>
      <c r="N10" t="s">
        <v>1328</v>
      </c>
      <c r="O10" t="s">
        <v>1223</v>
      </c>
      <c r="P10" t="s">
        <v>1340</v>
      </c>
      <c r="Q10" t="s">
        <v>1341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1344</v>
      </c>
      <c r="B9" t="s">
        <v>1348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7395238F-AA60-4E12-A1D9-1D226A46645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9C30EC2-AD38-4927-B9C1-5CE4B9AFFE4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5"/>
  <sheetViews>
    <sheetView workbookViewId="0">
      <selection activeCell="N19" sqref="N19"/>
    </sheetView>
  </sheetViews>
  <sheetFormatPr defaultRowHeight="14.5" x14ac:dyDescent="0.35"/>
  <cols>
    <col min="1" max="1" width="26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1328</v>
      </c>
      <c r="B5" t="s">
        <v>1329</v>
      </c>
      <c r="C5" t="s">
        <v>1242</v>
      </c>
      <c r="D5" t="s">
        <v>108</v>
      </c>
      <c r="E5">
        <v>30</v>
      </c>
      <c r="F5">
        <v>60</v>
      </c>
      <c r="G5">
        <v>0</v>
      </c>
      <c r="H5" t="s">
        <v>1330</v>
      </c>
      <c r="I5" t="s">
        <v>230</v>
      </c>
      <c r="J5">
        <v>1</v>
      </c>
      <c r="K5" t="s">
        <v>229</v>
      </c>
      <c r="L5" t="s">
        <v>1331</v>
      </c>
      <c r="M5" t="s">
        <v>1332</v>
      </c>
      <c r="N5" t="s">
        <v>1333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2026-01-17T20:01:47Z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