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EC6F1AB1-0F1A-4A01-A93C-0DABC4ECE87B}" xr6:coauthVersionLast="47" xr6:coauthVersionMax="47" xr10:uidLastSave="{00000000-0000-0000-0000-000000000000}"/>
  <bookViews>
    <workbookView xWindow="-110" yWindow="-110" windowWidth="38620" windowHeight="21100" tabRatio="1000" firstSheet="3" activeTab="26" xr2:uid="{00000000-000D-0000-FFFF-FFFF00000000}"/>
  </bookViews>
  <sheets>
    <sheet name="ItemBases" sheetId="2" r:id="rId1"/>
    <sheet name="Affixes" sheetId="3" r:id="rId2"/>
    <sheet name="UniqueItems" sheetId="4" r:id="rId3"/>
    <sheet name="Enemies" sheetId="5" r:id="rId4"/>
    <sheet name="BehaviorProfiles" sheetId="26" r:id="rId5"/>
    <sheet name="EnemyAbilities" sheetId="6" r:id="rId6"/>
    <sheet name="EnemyVariants" sheetId="7" r:id="rId7"/>
    <sheet name="LootTables" sheetId="8" r:id="rId8"/>
    <sheet name="Skills" sheetId="9" r:id="rId9"/>
    <sheet name="ShopInventory" sheetId="13" r:id="rId10"/>
    <sheet name="Consumables" sheetId="14" r:id="rId11"/>
    <sheet name="StatusEffects" sheetId="15" r:id="rId12"/>
    <sheet name="Zones" sheetId="16" r:id="rId13"/>
    <sheet name="Locations" sheetId="29" r:id="rId14"/>
    <sheet name="StatModifiers" sheetId="17" r:id="rId15"/>
    <sheet name="Rarities" sheetId="18" r:id="rId16"/>
    <sheet name="NPCs" sheetId="19" r:id="rId17"/>
    <sheet name="Dialogues" sheetId="20" r:id="rId18"/>
    <sheet name="Quests" sheetId="21" r:id="rId19"/>
    <sheet name="QuestObjectives" sheetId="22" r:id="rId20"/>
    <sheet name="Chests" sheetId="23" r:id="rId21"/>
    <sheet name="SpawnPoints" sheetId="24" r:id="rId22"/>
    <sheet name="Cutscenes" sheetId="27" r:id="rId23"/>
    <sheet name="FloatingDialogues" sheetId="28" r:id="rId24"/>
    <sheet name="PopupMessages" sheetId="30" r:id="rId25"/>
    <sheet name="TalentTrees" sheetId="31" r:id="rId26"/>
    <sheet name="Talents" sheetId="32" r:id="rId27"/>
  </sheets>
  <functionGroups builtInGroupCount="19"/>
  <definedNames>
    <definedName name="_xlnm._FilterDatabase" localSheetId="1" hidden="1">Affixes!$A$1:$J$1</definedName>
    <definedName name="_xlnm._FilterDatabase" localSheetId="4" hidden="1">BehaviorProfiles!$A$1:$AC$1</definedName>
    <definedName name="_xlnm._FilterDatabase" localSheetId="10" hidden="1">Consumables!$A$1:$J$1</definedName>
    <definedName name="_xlnm._FilterDatabase" localSheetId="22" hidden="1">Cutscenes!$A$1:$F$1</definedName>
    <definedName name="_xlnm._FilterDatabase" localSheetId="17" hidden="1">Dialogues!$A$1:$B$1</definedName>
    <definedName name="_xlnm._FilterDatabase" localSheetId="3" hidden="1">Enemies!$A$1:$O$1</definedName>
    <definedName name="_xlnm._FilterDatabase" localSheetId="5" hidden="1">EnemyAbilities!$A$1:$U$1</definedName>
    <definedName name="_xlnm._FilterDatabase" localSheetId="6" hidden="1">EnemyVariants!$A$1:$G$1</definedName>
    <definedName name="_xlnm._FilterDatabase" localSheetId="23" hidden="1">FloatingDialogues!$A$1:$K$1</definedName>
    <definedName name="_xlnm._FilterDatabase" localSheetId="20" hidden="1">Chests!$A$1:$N$1</definedName>
    <definedName name="_xlnm._FilterDatabase" localSheetId="0" hidden="1">ItemBases!$A$1:$Q$1</definedName>
    <definedName name="_xlnm._FilterDatabase" localSheetId="13" hidden="1">Locations!$A$1:$K$1</definedName>
    <definedName name="_xlnm._FilterDatabase" localSheetId="7" hidden="1">LootTables!$A$1:$N$1</definedName>
    <definedName name="_xlnm._FilterDatabase" localSheetId="16" hidden="1">NPCs!$A$1:$L$1</definedName>
    <definedName name="_xlnm._FilterDatabase" localSheetId="24" hidden="1">PopupMessages!$A$1:$I$1</definedName>
    <definedName name="_xlnm._FilterDatabase" localSheetId="19" hidden="1">QuestObjectives!$A$1:$G$1</definedName>
    <definedName name="_xlnm._FilterDatabase" localSheetId="18" hidden="1">Quests!$A$1:$P$1</definedName>
    <definedName name="_xlnm._FilterDatabase" localSheetId="15" hidden="1">Rarities!$A$1:$E$1</definedName>
    <definedName name="_xlnm._FilterDatabase" localSheetId="9" hidden="1">ShopInventory!$A$1:$J$1</definedName>
    <definedName name="_xlnm._FilterDatabase" localSheetId="8" hidden="1">Skills!$A$1:$R$1</definedName>
    <definedName name="_xlnm._FilterDatabase" localSheetId="21" hidden="1">SpawnPoints!$A$1:$P$1</definedName>
    <definedName name="_xlnm._FilterDatabase" localSheetId="14" hidden="1">StatModifiers!$A$1:$D$1</definedName>
    <definedName name="_xlnm._FilterDatabase" localSheetId="11" hidden="1">StatusEffects!$A$1:$L$1</definedName>
    <definedName name="_xlnm._FilterDatabase" localSheetId="26" hidden="1">Talents!$A$1:$AE$1</definedName>
    <definedName name="_xlnm._FilterDatabase" localSheetId="25" hidden="1">TalentTrees!$A$1:$D$1</definedName>
    <definedName name="_xlnm._FilterDatabase" localSheetId="2" hidden="1">UniqueItems!$A$1:$H$1</definedName>
    <definedName name="_xlnm._FilterDatabase" localSheetId="12" hidden="1">Zones!$A$1:$O$1</definedName>
    <definedName name="ID_Affixes">Affixes!$A$2:$A$102</definedName>
    <definedName name="ID_BehaviorProfiles">BehaviorProfiles!$A$2:$A$104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Enemies!$A$2:$A$105</definedName>
    <definedName name="ID_EnemyAbilities">EnemyAbilities!$A$2:$A$110</definedName>
    <definedName name="ID_EnemyVariants">EnemyVariants!$A$2:$A$102</definedName>
    <definedName name="ID_FloatingDialogues">FloatingDialogues!$A$2:$A$102</definedName>
    <definedName name="ID_Chests">Chests!$A$2:$A$102</definedName>
    <definedName name="ID_ItemBases">ItemBases!$A$2:$A$118</definedName>
    <definedName name="ID_LootTables">LootTables!$A$2:$A$103</definedName>
    <definedName name="ID_NPCs">NPCs!$A$2:$A$102</definedName>
    <definedName name="ID_Quests">Quests!$A$2:$A$102</definedName>
    <definedName name="ID_ShopInventory">ShopInventory!$A$2:$A$102</definedName>
    <definedName name="ID_Skills">Skills!$A$2:$A$102</definedName>
    <definedName name="ID_SpawnPoints">SpawnPoints!$A$2:$A$105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46733D28-D815-4BCC-BC08-5D8EC2D79229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D0D571A2-F6AC-4F4B-88FC-9ACFFC07533C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99457339-5C22-4F6F-804D-1EF31ABA8C98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67C4D7BA-779E-4B78-B2F0-FBE5B3EE20B0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B3423CEF-CFC0-4961-9261-436CB3F475E1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B6EAB601-572D-4771-B99C-2C80C09B7A6F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F8B61DC2-5D93-46DA-AF5D-0A60E743BA3C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139567D4-80C1-428F-9610-4BCC17984142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E0AE1D5E-3418-4AD9-B16F-0D63F1FF47CC}">
      <text>
        <r>
          <rPr>
            <sz val="9"/>
            <color indexed="81"/>
            <rFont val="Tahoma"/>
            <family val="2"/>
            <charset val="238"/>
          </rPr>
          <t>Comma-separated ability IDs from EnemyAbilities</t>
        </r>
      </text>
    </comment>
    <comment ref="N1" authorId="0" shapeId="0" xr:uid="{C36DD83A-C5FC-448D-91E8-809F64AAEE10}">
      <text>
        <r>
          <rPr>
            <sz val="9"/>
            <color indexed="81"/>
            <rFont val="Tahoma"/>
            <family val="2"/>
            <charset val="238"/>
          </rPr>
          <t>Links to BehaviorProfiles id (e.g., bhv_basic_melee)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0F9498A1-883A-4131-92CB-7FE4196AE023}">
      <text>
        <r>
          <rPr>
            <sz val="9"/>
            <color indexed="81"/>
            <rFont val="Tahoma"/>
            <family val="2"/>
            <charset val="238"/>
          </rPr>
          <t>stand, roam, patrol</t>
        </r>
      </text>
    </comment>
    <comment ref="E1" authorId="0" shapeId="0" xr:uid="{FF64E04F-6A5A-4614-A931-56FF8B98BEDA}">
      <text>
        <r>
          <rPr>
            <sz val="9"/>
            <color indexed="81"/>
            <rFont val="Tahoma"/>
            <family val="2"/>
            <charset val="238"/>
          </rPr>
          <t>Roam radius in pixels (for roam behavior)</t>
        </r>
      </text>
    </comment>
    <comment ref="F1" authorId="0" shapeId="0" xr:uid="{B041D0ED-75A3-47A6-83DB-42FB441A17B6}">
      <text>
        <r>
          <rPr>
            <sz val="9"/>
            <color indexed="81"/>
            <rFont val="Tahoma"/>
            <family val="2"/>
            <charset val="238"/>
          </rPr>
          <t>Speed multiplier when roaming (0.5 = half speed)</t>
        </r>
      </text>
    </comment>
    <comment ref="I1" authorId="0" shapeId="0" xr:uid="{158967CA-8169-4F7A-A3EF-5DE17E8DAE11}">
      <text>
        <r>
          <rPr>
            <sz val="9"/>
            <color indexed="81"/>
            <rFont val="Tahoma"/>
            <family val="2"/>
            <charset val="238"/>
          </rPr>
          <t>TRUE/FALSE - loop patrol route</t>
        </r>
      </text>
    </comment>
    <comment ref="K1" authorId="0" shapeId="0" xr:uid="{A736937C-48F8-4B84-8DEA-DB5C677A2CD9}">
      <text>
        <r>
          <rPr>
            <sz val="9"/>
            <color indexed="81"/>
            <rFont val="Tahoma"/>
            <family val="2"/>
            <charset val="238"/>
          </rPr>
          <t>sight, none</t>
        </r>
      </text>
    </comment>
    <comment ref="L1" authorId="0" shapeId="0" xr:uid="{36C5CE13-3C7B-49D1-93AA-EBDD01EA3F2C}">
      <text>
        <r>
          <rPr>
            <sz val="9"/>
            <color indexed="81"/>
            <rFont val="Tahoma"/>
            <family val="2"/>
            <charset val="238"/>
          </rPr>
          <t>TRUE/FALSE - aggro when damaged even outside detection</t>
        </r>
      </text>
    </comment>
    <comment ref="N1" authorId="0" shapeId="0" xr:uid="{A3DADA66-FC62-4505-905E-B0020663CEE7}">
      <text>
        <r>
          <rPr>
            <sz val="9"/>
            <color indexed="81"/>
            <rFont val="Tahoma"/>
            <family val="2"/>
            <charset val="238"/>
          </rPr>
          <t>Max distance from home before giving up chase</t>
        </r>
      </text>
    </comment>
    <comment ref="O1" authorId="0" shapeId="0" xr:uid="{0764A6AB-4E17-4B59-BBC2-2BFA952437AC}">
      <text>
        <r>
          <rPr>
            <sz val="9"/>
            <color indexed="81"/>
            <rFont val="Tahoma"/>
            <family val="2"/>
            <charset val="238"/>
          </rPr>
          <t>aggressive, ranged, opportunist, hit_run</t>
        </r>
      </text>
    </comment>
    <comment ref="P1" authorId="0" shapeId="0" xr:uid="{3230F09F-ED65-4195-9DB0-DBD6C8E417DF}">
      <text>
        <r>
          <rPr>
            <sz val="9"/>
            <color indexed="81"/>
            <rFont val="Tahoma"/>
            <family val="2"/>
            <charset val="238"/>
          </rPr>
          <t>direct, charge, kite, phase, circle</t>
        </r>
      </text>
    </comment>
    <comment ref="Q1" authorId="0" shapeId="0" xr:uid="{C238176E-7882-47EC-9CA9-90324CF5079A}">
      <text>
        <r>
          <rPr>
            <sz val="9"/>
            <color indexed="81"/>
            <rFont val="Tahoma"/>
            <family val="2"/>
            <charset val="238"/>
          </rPr>
          <t>Preferred combat distance (for ranged)</t>
        </r>
      </text>
    </comment>
    <comment ref="S1" authorId="0" shapeId="0" xr:uid="{56B4A0F3-B303-4F86-AB57-6C82F5CD90F1}">
      <text>
        <r>
          <rPr>
            <sz val="9"/>
            <color indexed="81"/>
            <rFont val="Tahoma"/>
            <family val="2"/>
            <charset val="238"/>
          </rPr>
          <t>0.0-1.0 chance to strafe during combat</t>
        </r>
      </text>
    </comment>
    <comment ref="T1" authorId="0" shapeId="0" xr:uid="{7B5E8A9A-9DC8-4485-B028-B7FA12F4C756}">
      <text>
        <r>
          <rPr>
            <sz val="9"/>
            <color indexed="81"/>
            <rFont val="Tahoma"/>
            <family val="2"/>
            <charset val="238"/>
          </rPr>
          <t>Distance to maintain when kiting</t>
        </r>
      </text>
    </comment>
    <comment ref="V1" authorId="0" shapeId="0" xr:uid="{C605596A-8F35-4FAD-810F-B9C4CE461735}">
      <text>
        <r>
          <rPr>
            <sz val="9"/>
            <color indexed="81"/>
            <rFont val="Tahoma"/>
            <family val="2"/>
            <charset val="238"/>
          </rPr>
          <t>clockwise, counter, random</t>
        </r>
      </text>
    </comment>
    <comment ref="Y1" authorId="0" shapeId="0" xr:uid="{CD8B1700-A8A2-4E36-A01B-7AF8D2749EF4}">
      <text>
        <r>
          <rPr>
            <sz val="9"/>
            <color indexed="81"/>
            <rFont val="Tahoma"/>
            <family val="2"/>
            <charset val="238"/>
          </rPr>
          <t>0.0-1.0 - health % to trigger flee</t>
        </r>
      </text>
    </comment>
    <comment ref="AA1" authorId="0" shapeId="0" xr:uid="{71A463F6-9802-40F2-9276-1698DC5E48B1}">
      <text>
        <r>
          <rPr>
            <sz val="9"/>
            <color indexed="81"/>
            <rFont val="Tahoma"/>
            <family val="2"/>
            <charset val="238"/>
          </rPr>
          <t>0.0-1.0 - chance to use ability vs basic attack</t>
        </r>
      </text>
    </comment>
    <comment ref="AB1" authorId="0" shapeId="0" xr:uid="{062927CD-0102-46E1-BD58-FC1067923EAE}">
      <text>
        <r>
          <rPr>
            <sz val="9"/>
            <color indexed="81"/>
            <rFont val="Tahoma"/>
            <family val="2"/>
            <charset val="238"/>
          </rPr>
          <t>highest, conditional, random_weighted</t>
        </r>
      </text>
    </comment>
    <comment ref="AC1" authorId="0" shapeId="0" xr:uid="{6232FCFC-C8CE-4B21-B83B-B43BAFD39288}">
      <text>
        <r>
          <rPr>
            <sz val="9"/>
            <color indexed="81"/>
            <rFont val="Tahoma"/>
            <family val="2"/>
            <charset val="238"/>
          </rPr>
          <t>Comma-separated ability IDs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9401EEBE-2025-47CC-9DC1-B5F30F4CC2B9}">
      <text>
        <r>
          <rPr>
            <sz val="9"/>
            <color indexed="81"/>
            <rFont val="Tahoma"/>
            <family val="2"/>
            <charset val="238"/>
          </rPr>
          <t>melee, dash_attack, aoe, projectile, pattern, teleport_attack, beam</t>
        </r>
      </text>
    </comment>
    <comment ref="E1" authorId="0" shapeId="0" xr:uid="{4F2E1AD1-139A-4B31-825D-1AB131D1F2F8}">
      <text>
        <r>
          <rPr>
            <sz val="9"/>
            <color indexed="81"/>
            <rFont val="Tahoma"/>
            <family val="2"/>
            <charset val="238"/>
          </rPr>
          <t>Multiplier applied to enemy base_damage</t>
        </r>
      </text>
    </comment>
    <comment ref="F1" authorId="0" shapeId="0" xr:uid="{E946502D-A26F-46C2-B1D9-164F87C58E45}">
      <text>
        <r>
          <rPr>
            <sz val="9"/>
            <color indexed="81"/>
            <rFont val="Tahoma"/>
            <family val="2"/>
            <charset val="238"/>
          </rPr>
          <t>physical, fire, cold, lightning, poison, chaos, pure</t>
        </r>
      </text>
    </comment>
    <comment ref="H1" authorId="0" shapeId="0" xr:uid="{9579CC83-9B63-4C42-9679-96C2BA856D41}">
      <text>
        <r>
          <rPr>
            <sz val="9"/>
            <color indexed="81"/>
            <rFont val="Tahoma"/>
            <family val="2"/>
            <charset val="238"/>
          </rPr>
          <t>Minimum range to use ability</t>
        </r>
      </text>
    </comment>
    <comment ref="I1" authorId="0" shapeId="0" xr:uid="{69AAF704-8640-48D9-AA19-925B15AAF32E}">
      <text>
        <r>
          <rPr>
            <sz val="9"/>
            <color indexed="81"/>
            <rFont val="Tahoma"/>
            <family val="2"/>
            <charset val="238"/>
          </rPr>
          <t>Maximum range to use ability</t>
        </r>
      </text>
    </comment>
    <comment ref="J1" authorId="0" shapeId="0" xr:uid="{62E9C8BC-FAA3-4F1D-85F8-E30800B226AF}">
      <text>
        <r>
          <rPr>
            <sz val="9"/>
            <color indexed="81"/>
            <rFont val="Tahoma"/>
            <family val="2"/>
            <charset val="238"/>
          </rPr>
          <t>circle, cone, line, cross, ring</t>
        </r>
      </text>
    </comment>
    <comment ref="K1" authorId="0" shapeId="0" xr:uid="{E6454093-08B0-4D6A-AF5C-3244B17B95D5}">
      <text>
        <r>
          <rPr>
            <sz val="9"/>
            <color indexed="81"/>
            <rFont val="Tahoma"/>
            <family val="2"/>
            <charset val="238"/>
          </rPr>
          <t>Size/radius of hitbox shape</t>
        </r>
      </text>
    </comment>
    <comment ref="L1" authorId="0" shapeId="0" xr:uid="{CA187B73-D992-418E-96E0-3BF597333492}">
      <text>
        <r>
          <rPr>
            <sz val="9"/>
            <color indexed="81"/>
            <rFont val="Tahoma"/>
            <family val="2"/>
            <charset val="238"/>
          </rPr>
          <t>Angle for cones/beams (degrees)</t>
        </r>
      </text>
    </comment>
    <comment ref="M1" authorId="0" shapeId="0" xr:uid="{044BDBD3-BB04-41A6-9538-FBBD8C8D5253}">
      <text>
        <r>
          <rPr>
            <sz val="9"/>
            <color indexed="81"/>
            <rFont val="Tahoma"/>
            <family val="2"/>
            <charset val="238"/>
          </rPr>
          <t>Wind-up time before damage (seconds)</t>
        </r>
      </text>
    </comment>
    <comment ref="N1" authorId="0" shapeId="0" xr:uid="{4C142EB1-AD76-414C-8360-83A55D744663}">
      <text>
        <r>
          <rPr>
            <sz val="9"/>
            <color indexed="81"/>
            <rFont val="Tahoma"/>
            <family val="2"/>
            <charset val="238"/>
          </rPr>
          <t>Recovery time after attack (seconds)</t>
        </r>
      </text>
    </comment>
    <comment ref="P1" authorId="0" shapeId="0" xr:uid="{B55ED8B0-C3D1-4728-96E6-9912A6603DC4}">
      <text>
        <r>
          <rPr>
            <sz val="9"/>
            <color indexed="81"/>
            <rFont val="Tahoma"/>
            <family val="2"/>
            <charset val="238"/>
          </rPr>
          <t>AI priority (higher = preferred)</t>
        </r>
      </text>
    </comment>
    <comment ref="Q1" authorId="0" shapeId="0" xr:uid="{04E7DBBE-F14D-407A-B8DB-AF46757CD0A5}">
      <text>
        <r>
          <rPr>
            <sz val="9"/>
            <color indexed="81"/>
            <rFont val="Tahoma"/>
            <family val="2"/>
            <charset val="238"/>
          </rPr>
          <t>Conditions: distance&gt;50, health&lt;50%, etc.</t>
        </r>
      </text>
    </comment>
    <comment ref="R1" authorId="0" shapeId="0" xr:uid="{37442582-D574-4D41-86FA-F075FD759B43}">
      <text>
        <r>
          <rPr>
            <sz val="9"/>
            <color indexed="81"/>
            <rFont val="Tahoma"/>
            <family val="2"/>
            <charset val="238"/>
          </rPr>
          <t>Effects: stun:0.5, burn:3:5, knockback:100</t>
        </r>
      </text>
    </comment>
    <comment ref="S1" authorId="0" shapeId="0" xr:uid="{A07D52E6-5EA8-4A9B-A29F-770AF98761BC}">
      <text>
        <r>
          <rPr>
            <sz val="9"/>
            <color indexed="81"/>
            <rFont val="Tahoma"/>
            <family val="2"/>
            <charset val="238"/>
          </rPr>
          <t>For projectile abilities (pixels/sec)</t>
        </r>
      </text>
    </comment>
    <comment ref="T1" authorId="0" shapeId="0" xr:uid="{CF03F59F-376A-455A-BEE4-D576E66374F6}">
      <text>
        <r>
          <rPr>
            <sz val="9"/>
            <color indexed="81"/>
            <rFont val="Tahoma"/>
            <family val="2"/>
            <charset val="238"/>
          </rPr>
          <t>For dash abilities (pixels/sec)</t>
        </r>
      </text>
    </comment>
    <comment ref="U1" authorId="0" shapeId="0" xr:uid="{41264DC3-F8C2-42E1-B420-CC2F47AA69AF}">
      <text>
        <r>
          <rPr>
            <sz val="9"/>
            <color indexed="81"/>
            <rFont val="Tahoma"/>
            <family val="2"/>
            <charset val="238"/>
          </rPr>
          <t>TRUE/FALSE - snap attack to 4 cardinal directions (default TRUE)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J1" authorId="0" shapeId="0" xr:uid="{50209C63-6CD3-46FA-9098-1E311048F8CB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K1" authorId="0" shapeId="0" xr:uid="{3E5F6ECD-AF9E-4648-A29D-942065918AE3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L1" authorId="0" shapeId="0" xr:uid="{0E2D85BB-7B05-4CA1-B7B4-D714953E6161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AB49AC8D-710F-453E-A68A-ADA6CD8B93F7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6FD0CFE9-CC53-4ECC-9613-7244FC0F6706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CA2C2B6-0AFB-4C1B-88D8-EFA95F360FA0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0103F355-751E-441D-BD94-64247DE85698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1A0096DD-F0C7-4511-B192-FD2DC64DCEE1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B22327D7-DE36-4867-B640-D63045B03371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57E1E157-7E28-4B59-815A-F62AA77E38D4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5D7098D9-DD7A-445F-B28A-980EE3F02668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3DFB4264-5875-492A-82BA-F44D5BD9D169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CA960E64-BC2E-42D0-A807-8165F33300F5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477A4300-E1A2-497D-8647-997ECCE5DB23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910619C5-9755-4B2D-A172-1203C7726707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11A90D09-FE43-4806-9482-009F5A6B12F6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4EF6174F-75A3-45CA-AE07-F0570BBAE432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860B8DFC-37BF-4D75-93AC-FE8A895D6BD0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3358FE4C-4951-4FA2-A500-873784D0CC3A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89772624-D1D8-422C-9AFC-F9987DB5C281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9BAFA49-E930-4117-AF66-03EB35A72EA2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CF240C80-B63C-4447-A34E-9E4D5CE7D62A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7DEF8762-08DF-4C90-862B-869D737F64E8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48812D8B-C15E-4A33-AEAC-4E37E7B9365D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5CB155C0-1A98-422E-8A1D-2885A4B0B09C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H1" authorId="0" shapeId="0" xr:uid="{FD601F93-01A4-4405-BC46-6EBA6E4F1819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M1" authorId="0" shapeId="0" xr:uid="{C77A3D0C-0665-4346-826A-8BA260801666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FF9E90BA-90DC-40EE-9BE3-2EDCD8539C78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112FC95A-DF1E-40B8-994B-0C847CF4D417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A1D9F1FE-1B06-4824-AC0E-382A76135C6E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8326311-DE9E-4AFE-84DC-1E33F6D67E1E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070EFE29-862B-4469-A19B-91AF1F301B7D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0AA0863C-C2DF-4006-A6E5-CA0667EBD798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90308C12-81A6-4033-8F82-3AA1E07C5DD5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CEA91C07-B37D-4153-A5E7-83C64AF60FE9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BB3E773-E9E3-487F-A046-C62C57154BFA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B0AC96DE-D47D-488A-9A7C-C869FE0C171D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998C5AD1-9C8C-40B8-B5B7-2B21E2CCC1A0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436EAC4C-6791-45D9-9E70-37F031515D7A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E4FD37DB-BA79-4437-A56D-822439E7C6D7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C2AD745A-B65D-41EB-BDAC-63D6796E9A21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2C96A9F2-20C4-4790-8231-A36284674E5C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6314F05A-8F4F-4F28-96E3-890ED5117C81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58CA0712-CF82-43E1-8CCE-3942E50E1EAC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8A3B94B1-0117-4513-B310-CF94F5BD5F6E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633F9A28-F097-4D5E-ACA5-BAB8C667F8A5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DC67800-2B7C-4174-9F71-6974B387AA4E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4933F249-6333-4C78-A3E1-3E71B6E8EE7B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EC10CFCC-8508-4750-9AA8-FF50087708C1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2189DD58-9867-4245-89EE-C7B65F748D96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C6A3D774-7F59-4A65-AD19-A92DC94B6906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3E22F682-EAF7-4511-986E-6FB336FA255F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06A64967-1A63-453B-B7D1-2D3AF262A393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365820D9-2780-4512-BC7F-F7E534C8C6D8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C7649D2C-7BE0-40D3-B633-E565BCE3E7D4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2B37F4A-EA5E-4117-8A9B-B98FFF6782DB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835B4F67-5649-4CD3-B355-76351FF0BC5B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8512BC0-9333-4BD9-ABB0-9010FB23175B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240A4FDE-B60D-4422-96F4-5A90331AFA59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E0F446B2-C8FF-470E-B747-EC35CD694D73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07DCB280-A610-4F84-AF80-E1E4F04FB78E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423D7B34-62C2-4F86-89EC-231CA3181014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8DCD3728-BDD2-4D4E-9832-E60B77C362F8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4EFB5D09-4615-48EC-ADC1-BDF7CAF490A3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F094AA64-2F07-4E60-914F-250CFE5B8738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64674CF4-0AF9-49BA-BB92-C2FE4F3BE10E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215D234D-C50E-4A4A-9FB1-24D79C679FCC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E1E3BEB2-5FA8-4E16-AA50-30317D4F700C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2EF95C0D-FA39-41BD-94FB-51E7DA1CAC4A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75B01B93-AD3C-4D57-AFB3-543E1009AE38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651A1B2B-7722-4263-9744-7F3C1CCC4B84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170C9E4A-D1FD-439A-875B-FE6401D04611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B4C87D12-A886-427C-9546-26EAE9407378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9C5DC48E-59B9-45A1-8FF8-7AFA96735329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9D174BBB-01D9-4A23-ACA7-70A4DE334A9E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5C81FFB8-FC47-48D5-B807-D511F2603385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491C3AA8-043A-4538-BA49-7490AE1D1D1D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A663A1E9-325C-4661-9B51-A337B2E0EBBA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090004FF-EBD4-44C6-95AA-ABC97B84B849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457E247E-B71D-471B-A7D8-6DCF6B41A9A1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C8EAF05B-BF14-4F9B-9FDD-22B97BCF418E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</commentList>
</comments>
</file>

<file path=xl/sharedStrings.xml><?xml version="1.0" encoding="utf-8"?>
<sst xmlns="http://schemas.openxmlformats.org/spreadsheetml/2006/main" count="835" uniqueCount="552">
  <si>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</si>
  <si>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</si>
  <si>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</si>
  <si>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</si>
  <si>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</si>
  <si>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</si>
  <si>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</si>
  <si>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</si>
  <si>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</si>
  <si>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</si>
  <si>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</si>
  <si>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</si>
  <si>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</si>
  <si>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</si>
  <si>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</si>
  <si>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</si>
  <si>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</si>
  <si>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</si>
  <si>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</si>
  <si>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</si>
  <si>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</si>
  <si>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</si>
  <si>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</si>
  <si>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</si>
  <si>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</si>
  <si>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</si>
  <si>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</si>
  <si>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</si>
  <si>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</si>
  <si>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attack_range</t>
  </si>
  <si>
    <t>detection_range</t>
  </si>
  <si>
    <t>xp_reward</t>
  </si>
  <si>
    <t>loot_table_id</t>
  </si>
  <si>
    <t>ability_ids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</si>
  <si>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</si>
  <si>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</si>
  <si>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</si>
  <si>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</si>
  <si>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</si>
  <si>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</si>
  <si>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</si>
  <si>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</si>
  <si>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</si>
  <si>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</si>
  <si>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</si>
  <si>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</si>
  <si>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</si>
  <si>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</si>
  <si>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</si>
  <si>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</si>
  <si>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</si>
  <si>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</si>
  <si>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</si>
  <si>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tier</t>
  </si>
  <si>
    <t>max_level</t>
  </si>
  <si>
    <t>mana_cost</t>
  </si>
  <si>
    <t>stamina_cost</t>
  </si>
  <si>
    <t>damage_per_level</t>
  </si>
  <si>
    <t>effect_type</t>
  </si>
  <si>
    <t>effect_value</t>
  </si>
  <si>
    <t>effect_per_level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</si>
  <si>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</si>
  <si>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</si>
  <si>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</si>
  <si>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</si>
  <si>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</si>
  <si>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</si>
  <si>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</si>
  <si>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</si>
  <si>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</si>
  <si>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</si>
  <si>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</si>
  <si>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</si>
  <si>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</si>
  <si>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</si>
  <si>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</si>
  <si>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</si>
  <si>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</si>
  <si>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</si>
  <si>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</si>
  <si>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</si>
  <si>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</si>
  <si>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</si>
  <si>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</si>
  <si>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</si>
  <si>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</si>
  <si>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</si>
  <si>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</si>
  <si>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</si>
  <si>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</si>
  <si>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</si>
  <si>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enemy_spawn_list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</si>
  <si>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</si>
  <si>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</si>
  <si>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</si>
  <si>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</si>
  <si>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</si>
  <si>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</si>
  <si>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</si>
  <si>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</si>
  <si>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</si>
  <si>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</si>
  <si>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</si>
  <si>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</si>
  <si>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</si>
  <si>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</si>
  <si>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</si>
  <si>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</si>
  <si>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</si>
  <si>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</si>
  <si>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</si>
  <si>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</si>
  <si>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</si>
  <si>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</si>
  <si>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</si>
  <si>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</si>
  <si>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</si>
  <si>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</si>
  <si>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</si>
  <si>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</si>
  <si>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</si>
  <si>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</si>
  <si>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</si>
  <si>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</si>
  <si>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</si>
  <si>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</si>
  <si>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</si>
  <si>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</si>
  <si>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</si>
  <si>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</si>
  <si>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</si>
  <si>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</si>
  <si>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</si>
  <si>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</si>
  <si>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weapon,sword,melee</t>
  </si>
  <si>
    <t>A basic iron sword.</t>
  </si>
  <si>
    <t>wep_sword_steel</t>
  </si>
  <si>
    <t>Steel Longsword</t>
  </si>
  <si>
    <t>A well-balanced blade forged from quality steel.</t>
  </si>
  <si>
    <t>wep_dagger_iron</t>
  </si>
  <si>
    <t>Iron Dagger</t>
  </si>
  <si>
    <t>Dagger</t>
  </si>
  <si>
    <t>weapon,dagger,melee</t>
  </si>
  <si>
    <t>A quick iron dagger.</t>
  </si>
  <si>
    <t>wep_staff_oak</t>
  </si>
  <si>
    <t>Oak Staff</t>
  </si>
  <si>
    <t>Staff</t>
  </si>
  <si>
    <t>0.8</t>
  </si>
  <si>
    <t>weapon,staff,magic</t>
  </si>
  <si>
    <t>A sturdy oak staff for channeling magic.</t>
  </si>
  <si>
    <t>wep_bow_short</t>
  </si>
  <si>
    <t>Short Bow</t>
  </si>
  <si>
    <t>Bow</t>
  </si>
  <si>
    <t>weapon,bow,ranged</t>
  </si>
  <si>
    <t>A simple short bow.</t>
  </si>
  <si>
    <t>arm_helmet_iron</t>
  </si>
  <si>
    <t>Iron Helm</t>
  </si>
  <si>
    <t>Head</t>
  </si>
  <si>
    <t>Helmet</t>
  </si>
  <si>
    <t>armor,head,heavy</t>
  </si>
  <si>
    <t>A sturdy iron helmet.</t>
  </si>
  <si>
    <t>arm_helmet_leather</t>
  </si>
  <si>
    <t>Leather Cap</t>
  </si>
  <si>
    <t>armor,head,light</t>
  </si>
  <si>
    <t>A simple leather cap.</t>
  </si>
  <si>
    <t>arm_chest_chainmail</t>
  </si>
  <si>
    <t>Chainmail</t>
  </si>
  <si>
    <t>Chest</t>
  </si>
  <si>
    <t>armor,chest,heavy</t>
  </si>
  <si>
    <t>Interlocking metal rings provide solid protection.</t>
  </si>
  <si>
    <t>arm_chest_leather</t>
  </si>
  <si>
    <t>Leather Tunic</t>
  </si>
  <si>
    <t>armor,chest,light</t>
  </si>
  <si>
    <t>Supple leather armor.</t>
  </si>
  <si>
    <t>arm_gloves_leather</t>
  </si>
  <si>
    <t>Leather Gloves</t>
  </si>
  <si>
    <t>Hands</t>
  </si>
  <si>
    <t>Gloves</t>
  </si>
  <si>
    <t>armor,hands,light</t>
  </si>
  <si>
    <t>Supple leather gloves that improve grip.</t>
  </si>
  <si>
    <t>arm_gloves_iron</t>
  </si>
  <si>
    <t>Iron Gauntlets</t>
  </si>
  <si>
    <t>armor,hands,heavy</t>
  </si>
  <si>
    <t>Heavy iron gauntlets.</t>
  </si>
  <si>
    <t>arm_boots_leather</t>
  </si>
  <si>
    <t>Leather Boots</t>
  </si>
  <si>
    <t>Feet</t>
  </si>
  <si>
    <t>Boots</t>
  </si>
  <si>
    <t>armor,feet,light</t>
  </si>
  <si>
    <t>Simple leather boots.</t>
  </si>
  <si>
    <t>arm_boots_traveler</t>
  </si>
  <si>
    <t>Traveler's Boots</t>
  </si>
  <si>
    <t>Well-worn boots made for long journeys.</t>
  </si>
  <si>
    <t>acc_ring_copper</t>
  </si>
  <si>
    <t>Copper Ring</t>
  </si>
  <si>
    <t>Ring</t>
  </si>
  <si>
    <t>accessory,ring</t>
  </si>
  <si>
    <t>A simple copper ring.</t>
  </si>
  <si>
    <t>acc_ring_silver</t>
  </si>
  <si>
    <t>Silver Ring</t>
  </si>
  <si>
    <t>A polished silver ring.</t>
  </si>
  <si>
    <t>acc_amulet_bone</t>
  </si>
  <si>
    <t>Bone Amulet</t>
  </si>
  <si>
    <t>Amulet</t>
  </si>
  <si>
    <t>accessory,amulet</t>
  </si>
  <si>
    <t>An amulet carved from bone.</t>
  </si>
  <si>
    <t>acc_amulet_jade</t>
  </si>
  <si>
    <t>Jade Pendant</t>
  </si>
  <si>
    <t>A pendant with a green jade stone.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</si>
  <si>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</si>
  <si>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</si>
  <si>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</si>
  <si>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</si>
  <si>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</si>
  <si>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</si>
  <si>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</si>
  <si>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</si>
  <si>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</si>
  <si>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</si>
  <si>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</si>
  <si>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</si>
  <si>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</si>
  <si>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</si>
  <si>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</si>
  <si>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</si>
  <si>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</si>
  <si>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</si>
  <si>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</si>
  <si>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</si>
  <si>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</si>
  <si>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</si>
  <si>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</si>
  <si>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Central hub - no enemies</t>
  </si>
  <si>
    <t>zone_meadow</t>
  </si>
  <si>
    <t>Peaceful Meadow</t>
  </si>
  <si>
    <t>outdoor</t>
  </si>
  <si>
    <t>Zombies</t>
  </si>
  <si>
    <t>zone_forest</t>
  </si>
  <si>
    <t>zone_crypt</t>
  </si>
  <si>
    <t>Ancient Crypt</t>
  </si>
  <si>
    <t>dungeon</t>
  </si>
  <si>
    <t>Vampires</t>
  </si>
  <si>
    <t>loot_test_guaranteed</t>
  </si>
  <si>
    <t>Test 100% Drop</t>
  </si>
  <si>
    <t>loot_vampire_lord</t>
  </si>
  <si>
    <t>Vampire Lord Loot</t>
  </si>
  <si>
    <t>key_old_wooden</t>
  </si>
  <si>
    <t>ene_vampire_lord</t>
  </si>
  <si>
    <t>Vampire Lord</t>
  </si>
  <si>
    <t>Miniboss</t>
  </si>
  <si>
    <t>ene_Vampire_basic,ene_vampire_lord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</si>
  <si>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</si>
  <si>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</si>
  <si>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</si>
  <si>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</si>
  <si>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</si>
  <si>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</si>
  <si>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</si>
  <si>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</si>
  <si>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</si>
  <si>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</si>
  <si>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</si>
  <si>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</si>
  <si>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</si>
  <si>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</si>
  <si>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</si>
  <si>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</si>
  <si>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</si>
  <si>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</si>
  <si>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</si>
  <si>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</si>
  <si>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</si>
  <si>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</si>
  <si>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</si>
  <si>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</si>
  <si>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</si>
  <si>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</si>
  <si>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</si>
  <si>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</si>
  <si>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</si>
  <si>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</si>
  <si>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</si>
  <si>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</si>
  <si>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</si>
  <si>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</si>
  <si>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</si>
  <si>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</si>
  <si>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</si>
  <si>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</si>
  <si>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</si>
  <si>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</si>
  <si>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</si>
  <si>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</si>
  <si>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sp_forest_ghouls</t>
  </si>
  <si>
    <t>Forest Ghoul Spawn</t>
  </si>
  <si>
    <t>Mixed ghoul spawn for forest zone</t>
  </si>
  <si>
    <t>ene_ghoul_basic:80,ene_zombie_basic:20</t>
  </si>
  <si>
    <t>forest_enemies</t>
  </si>
  <si>
    <t>sp_crypt_vampires</t>
  </si>
  <si>
    <t>Crypt Vampire Spawn</t>
  </si>
  <si>
    <t>Vampire spawn for crypt dungeon</t>
  </si>
  <si>
    <t>crypt_enemies</t>
  </si>
  <si>
    <t>sp_vampire_lord_boss</t>
  </si>
  <si>
    <t>Vampire Lord Boss Spawn</t>
  </si>
  <si>
    <t>Boss spawn - only spawns once per playthrough</t>
  </si>
  <si>
    <t>ene_vampire_lord:100</t>
  </si>
  <si>
    <t>boss_spawns</t>
  </si>
  <si>
    <t>quest_vampire_lord_defeated</t>
  </si>
  <si>
    <t>Kill 3 zombies in the meadows</t>
  </si>
  <si>
    <t>behavior_profile</t>
  </si>
  <si>
    <t>damage_mult</t>
  </si>
  <si>
    <t>range_min</t>
  </si>
  <si>
    <t>range_max</t>
  </si>
  <si>
    <t>shape</t>
  </si>
  <si>
    <t>shape_size</t>
  </si>
  <si>
    <t>shape_angle</t>
  </si>
  <si>
    <t>windup</t>
  </si>
  <si>
    <t>recovery</t>
  </si>
  <si>
    <t>animation</t>
  </si>
  <si>
    <t>priority</t>
  </si>
  <si>
    <t>conditions</t>
  </si>
  <si>
    <t>effects_on_hit</t>
  </si>
  <si>
    <t>projectile_speed</t>
  </si>
  <si>
    <t>dash_speed</t>
  </si>
  <si>
    <t>idle_behavior</t>
  </si>
  <si>
    <t>idle_roam_radius</t>
  </si>
  <si>
    <t>idle_roam_speed_mult</t>
  </si>
  <si>
    <t>idle_pause_min</t>
  </si>
  <si>
    <t>idle_pause_max</t>
  </si>
  <si>
    <t>patrol_loop</t>
  </si>
  <si>
    <t>detection_type</t>
  </si>
  <si>
    <t>aggro_on_damage</t>
  </si>
  <si>
    <t>aggro_memory_time</t>
  </si>
  <si>
    <t>leash_range</t>
  </si>
  <si>
    <t>combat_style</t>
  </si>
  <si>
    <t>approach_behavior</t>
  </si>
  <si>
    <t>preferred_range</t>
  </si>
  <si>
    <t>chase_speed_mult</t>
  </si>
  <si>
    <t>strafe_chance</t>
  </si>
  <si>
    <t>kite_distance</t>
  </si>
  <si>
    <t>kite_speed_mult</t>
  </si>
  <si>
    <t>circle_direction</t>
  </si>
  <si>
    <t>attack_retreat_distance</t>
  </si>
  <si>
    <t>attack_retreat_duration</t>
  </si>
  <si>
    <t>flee_health_threshold</t>
  </si>
  <si>
    <t>flee_speed_mult</t>
  </si>
  <si>
    <t>ability_use_chance</t>
  </si>
  <si>
    <t>ability_priority_mode</t>
  </si>
  <si>
    <t>abilities</t>
  </si>
  <si>
    <t>melee</t>
  </si>
  <si>
    <t>physical</t>
  </si>
  <si>
    <t>circle</t>
  </si>
  <si>
    <t>0.2</t>
  </si>
  <si>
    <t>0.3</t>
  </si>
  <si>
    <t>attack</t>
  </si>
  <si>
    <t>roam</t>
  </si>
  <si>
    <t>0.5</t>
  </si>
  <si>
    <t>sight</t>
  </si>
  <si>
    <t>aggressive</t>
  </si>
  <si>
    <t>direct</t>
  </si>
  <si>
    <t>highest</t>
  </si>
  <si>
    <t>loot_basic</t>
  </si>
  <si>
    <t>abl_zombie_bite</t>
  </si>
  <si>
    <t>Zombie Bite</t>
  </si>
  <si>
    <t>Slow infectious bite</t>
  </si>
  <si>
    <t>abl_zombie_slam</t>
  </si>
  <si>
    <t>Zombie Slam</t>
  </si>
  <si>
    <t>Heavy overhead slam</t>
  </si>
  <si>
    <t>health&lt;50%</t>
  </si>
  <si>
    <t>stun:0.5</t>
  </si>
  <si>
    <t>abl_ghoul_claw</t>
  </si>
  <si>
    <t>Ghoul Claw</t>
  </si>
  <si>
    <t>Fast slashing attack</t>
  </si>
  <si>
    <t>cone</t>
  </si>
  <si>
    <t>abl_ghoul_leap</t>
  </si>
  <si>
    <t>Ghoul Leap</t>
  </si>
  <si>
    <t>Leaping attack</t>
  </si>
  <si>
    <t>dash_attack</t>
  </si>
  <si>
    <t>distance&gt;50</t>
  </si>
  <si>
    <t>abl_ghoul_frenzy</t>
  </si>
  <si>
    <t>Ghoul Frenzy</t>
  </si>
  <si>
    <t>Rapid claw combo</t>
  </si>
  <si>
    <t>health&lt;30%</t>
  </si>
  <si>
    <t>abl_vampire_drain</t>
  </si>
  <si>
    <t>Life Drain</t>
  </si>
  <si>
    <t>Drains life force</t>
  </si>
  <si>
    <t>beam</t>
  </si>
  <si>
    <t>chaos</t>
  </si>
  <si>
    <t>line</t>
  </si>
  <si>
    <t>cast</t>
  </si>
  <si>
    <t>lifesteal:50</t>
  </si>
  <si>
    <t>abl_vampire_bats</t>
  </si>
  <si>
    <t>Bat Swarm</t>
  </si>
  <si>
    <t>Summons biting bats</t>
  </si>
  <si>
    <t>projectile</t>
  </si>
  <si>
    <t>abl_vampire_strike</t>
  </si>
  <si>
    <t>Shadow Strike</t>
  </si>
  <si>
    <t>Teleport behind and slash</t>
  </si>
  <si>
    <t>teleport_attack</t>
  </si>
  <si>
    <t>distance&gt;60</t>
  </si>
  <si>
    <t>abl_vampire_aoe</t>
  </si>
  <si>
    <t>Blood Nova</t>
  </si>
  <si>
    <t>Explosive blood magic</t>
  </si>
  <si>
    <t>aoe</t>
  </si>
  <si>
    <t>ring</t>
  </si>
  <si>
    <t>health&lt;40%</t>
  </si>
  <si>
    <t>knockback:80</t>
  </si>
  <si>
    <t>bhv_zombie_shamble</t>
  </si>
  <si>
    <t>Zombie Shambler</t>
  </si>
  <si>
    <t>Slow relentless undead</t>
  </si>
  <si>
    <t>abl_zombie_bite,abl_zombie_slam</t>
  </si>
  <si>
    <t>bhv_ghoul_hunter</t>
  </si>
  <si>
    <t>Ghoul Hunter</t>
  </si>
  <si>
    <t>Fast aggressive predator</t>
  </si>
  <si>
    <t>charge</t>
  </si>
  <si>
    <t>conditional</t>
  </si>
  <si>
    <t>abl_ghoul_claw,abl_ghoul_leap,abl_ghoul_frenzy</t>
  </si>
  <si>
    <t>bhv_vampire_cunning</t>
  </si>
  <si>
    <t>Vampire Cunning</t>
  </si>
  <si>
    <t>Intelligent ranged fighter</t>
  </si>
  <si>
    <t>stand</t>
  </si>
  <si>
    <t>ranged</t>
  </si>
  <si>
    <t>kite</t>
  </si>
  <si>
    <t>abl_vampire_drain,abl_vampire_bats,abl_vampire_strike,abl_vampire_aoe</t>
  </si>
  <si>
    <t>A shambling undead corpse</t>
  </si>
  <si>
    <t>A fast feral undead predator</t>
  </si>
  <si>
    <t>ene_vampire_basic</t>
  </si>
  <si>
    <t>loot_rare</t>
  </si>
  <si>
    <t>An intelligent undead blood-drinker</t>
  </si>
  <si>
    <t>A powerful vampire noble</t>
  </si>
  <si>
    <t>ene_vampire_basic:100</t>
  </si>
  <si>
    <t>cardinal_only</t>
  </si>
  <si>
    <t>status_rot</t>
  </si>
  <si>
    <t>Rot</t>
  </si>
  <si>
    <t>debuff_dot</t>
  </si>
  <si>
    <t>health</t>
  </si>
  <si>
    <t>rot_particles</t>
  </si>
  <si>
    <t>false</t>
  </si>
  <si>
    <t>rot:5:3</t>
  </si>
  <si>
    <t>show_in_hud</t>
  </si>
  <si>
    <t>Decaying flesh...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</si>
  <si>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</si>
  <si>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</si>
  <si>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</si>
  <si>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</si>
  <si>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</si>
  <si>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</si>
  <si>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</si>
  <si>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</si>
  <si>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</si>
  <si>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</si>
  <si>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</si>
  <si>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</si>
  <si>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</si>
  <si>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</si>
  <si>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</si>
  <si>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</si>
  <si>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</si>
  <si>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</si>
  <si>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</si>
  <si>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</si>
  <si>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</si>
  <si>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</si>
  <si>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</si>
  <si>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</si>
  <si>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</si>
  <si>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</si>
  <si>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ene_wolf_basic,ene_spider_forest</t>
  </si>
  <si>
    <t>loot_forest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</si>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</sst>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</fills>
  <borders count="3"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3" fillId="2" borderId="0" xfId="0" applyFont="1" applyFill="1"/>
    <xf numFmtId="16" fontId="0" fillId="0" borderId="0" xfId="0" applyNumberFormat="1"/>
    <xf numFmtId="0" fontId="4" fillId="0" borderId="1" xfId="0" applyFont="1" applyBorder="1" applyAlignment="1">
      <alignment vertical="center" wrapText="1"/>
    </xf>
    <xf numFmtId="0" fontId="4" fillId="0" borderId="2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/>
    <xf numFmtId="0" fontId="1" fillId="0" borderId="0" xfId="0" applyFont="1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/>
  <dimension ref="A1:R18"/>
  <sheetViews>
    <sheetView topLeftCell="A13" workbookViewId="0">
      <selection activeCell="U29" sqref="U29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521</v>
      </c>
      <c r="F1" s="1" t="s">
        <v>522</v>
      </c>
      <c r="G1" s="1" t="s">
        <v>96</v>
      </c>
      <c r="H1" s="1" t="s">
        <v>97</v>
      </c>
      <c r="I1" s="1" t="s">
        <v>98</v>
      </c>
      <c r="J1" s="1" t="s">
        <v>99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542</v>
      </c>
    </row>
    <row r="2" spans="1:18" x14ac:dyDescent="0.35">
      <c r="A2" t="s">
        <v>129</v>
      </c>
      <c r="B2" t="s">
        <v>130</v>
      </c>
      <c r="C2" t="s">
        <v>131</v>
      </c>
      <c r="D2" t="s">
        <v>132</v>
      </c>
      <c r="E2">
        <v>8</v>
      </c>
      <c r="F2" t="s">
        <v>133</v>
      </c>
      <c r="G2">
        <v>0</v>
      </c>
      <c r="H2">
        <v>5</v>
      </c>
      <c r="I2">
        <v>0</v>
      </c>
      <c r="J2">
        <v>0</v>
      </c>
      <c r="K2" t="s">
        <v>134</v>
      </c>
      <c r="L2" t="s">
        <v>135</v>
      </c>
      <c r="R2" t="s">
        <v>544</v>
      </c>
    </row>
    <row r="3" spans="1:18" x14ac:dyDescent="0.35">
      <c r="A3" t="s">
        <v>136</v>
      </c>
      <c r="B3" t="s">
        <v>137</v>
      </c>
      <c r="C3" t="s">
        <v>131</v>
      </c>
      <c r="D3" t="s">
        <v>132</v>
      </c>
      <c r="E3">
        <v>12</v>
      </c>
      <c r="F3" t="s">
        <v>133</v>
      </c>
      <c r="G3">
        <v>0</v>
      </c>
      <c r="H3">
        <v>8</v>
      </c>
      <c r="I3">
        <v>0</v>
      </c>
      <c r="J3">
        <v>0</v>
      </c>
      <c r="K3" t="s">
        <v>134</v>
      </c>
      <c r="L3" t="s">
        <v>138</v>
      </c>
      <c r="R3" t="s">
        <v>544</v>
      </c>
    </row>
    <row r="4" spans="1:18" x14ac:dyDescent="0.35">
      <c r="A4" t="s">
        <v>139</v>
      </c>
      <c r="B4" t="s">
        <v>140</v>
      </c>
      <c r="C4" t="s">
        <v>131</v>
      </c>
      <c r="D4" t="s">
        <v>141</v>
      </c>
      <c r="E4">
        <v>5</v>
      </c>
      <c r="F4" s="2">
        <v>45778</v>
      </c>
      <c r="G4">
        <v>0</v>
      </c>
      <c r="H4">
        <v>0</v>
      </c>
      <c r="I4">
        <v>5</v>
      </c>
      <c r="J4">
        <v>0</v>
      </c>
      <c r="K4" t="s">
        <v>142</v>
      </c>
      <c r="L4" t="s">
        <v>143</v>
      </c>
      <c r="R4" t="s">
        <v>544</v>
      </c>
    </row>
    <row r="5" spans="1:18" x14ac:dyDescent="0.35">
      <c r="A5" t="s">
        <v>144</v>
      </c>
      <c r="B5" t="s">
        <v>145</v>
      </c>
      <c r="C5" t="s">
        <v>131</v>
      </c>
      <c r="D5" t="s">
        <v>146</v>
      </c>
      <c r="E5">
        <v>6</v>
      </c>
      <c r="F5" t="s">
        <v>147</v>
      </c>
      <c r="G5">
        <v>0</v>
      </c>
      <c r="H5">
        <v>0</v>
      </c>
      <c r="I5">
        <v>0</v>
      </c>
      <c r="J5">
        <v>5</v>
      </c>
      <c r="K5" t="s">
        <v>148</v>
      </c>
      <c r="L5" t="s">
        <v>149</v>
      </c>
      <c r="R5" t="s">
        <v>120</v>
      </c>
    </row>
    <row r="6" spans="1:18" x14ac:dyDescent="0.35">
      <c r="A6" t="s">
        <v>150</v>
      </c>
      <c r="B6" t="s">
        <v>151</v>
      </c>
      <c r="C6" t="s">
        <v>131</v>
      </c>
      <c r="D6" t="s">
        <v>152</v>
      </c>
      <c r="E6">
        <v>7</v>
      </c>
      <c r="F6" s="2">
        <v>45689</v>
      </c>
      <c r="G6">
        <v>0</v>
      </c>
      <c r="H6">
        <v>0</v>
      </c>
      <c r="I6">
        <v>8</v>
      </c>
      <c r="J6">
        <v>0</v>
      </c>
      <c r="K6" t="s">
        <v>153</v>
      </c>
      <c r="L6" t="s">
        <v>154</v>
      </c>
      <c r="R6" t="s">
        <v>421</v>
      </c>
    </row>
    <row r="7" spans="1:18" x14ac:dyDescent="0.35">
      <c r="A7" t="s">
        <v>155</v>
      </c>
      <c r="B7" t="s">
        <v>156</v>
      </c>
      <c r="C7" t="s">
        <v>157</v>
      </c>
      <c r="D7" t="s">
        <v>158</v>
      </c>
      <c r="E7">
        <v>0</v>
      </c>
      <c r="F7">
        <v>0</v>
      </c>
      <c r="G7">
        <v>5</v>
      </c>
      <c r="H7">
        <v>5</v>
      </c>
      <c r="I7">
        <v>0</v>
      </c>
      <c r="J7">
        <v>0</v>
      </c>
      <c r="K7" t="s">
        <v>159</v>
      </c>
      <c r="L7" t="s">
        <v>160</v>
      </c>
    </row>
    <row r="8" spans="1:18" x14ac:dyDescent="0.35">
      <c r="A8" t="s">
        <v>161</v>
      </c>
      <c r="B8" t="s">
        <v>162</v>
      </c>
      <c r="C8" t="s">
        <v>157</v>
      </c>
      <c r="D8" t="s">
        <v>158</v>
      </c>
      <c r="E8">
        <v>0</v>
      </c>
      <c r="F8">
        <v>0</v>
      </c>
      <c r="G8">
        <v>3</v>
      </c>
      <c r="H8">
        <v>0</v>
      </c>
      <c r="I8">
        <v>3</v>
      </c>
      <c r="J8">
        <v>0</v>
      </c>
      <c r="K8" t="s">
        <v>163</v>
      </c>
      <c r="L8" t="s">
        <v>164</v>
      </c>
    </row>
    <row r="9" spans="1:18" x14ac:dyDescent="0.35">
      <c r="A9" t="s">
        <v>165</v>
      </c>
      <c r="B9" t="s">
        <v>166</v>
      </c>
      <c r="C9" t="s">
        <v>167</v>
      </c>
      <c r="D9" t="s">
        <v>167</v>
      </c>
      <c r="E9">
        <v>0</v>
      </c>
      <c r="F9">
        <v>0</v>
      </c>
      <c r="G9">
        <v>10</v>
      </c>
      <c r="H9">
        <v>10</v>
      </c>
      <c r="I9">
        <v>0</v>
      </c>
      <c r="J9">
        <v>0</v>
      </c>
      <c r="K9" t="s">
        <v>168</v>
      </c>
      <c r="L9" t="s">
        <v>169</v>
      </c>
    </row>
    <row r="10" spans="1:18" x14ac:dyDescent="0.35">
      <c r="A10" t="s">
        <v>170</v>
      </c>
      <c r="B10" t="s">
        <v>171</v>
      </c>
      <c r="C10" t="s">
        <v>167</v>
      </c>
      <c r="D10" t="s">
        <v>167</v>
      </c>
      <c r="E10">
        <v>0</v>
      </c>
      <c r="F10">
        <v>0</v>
      </c>
      <c r="G10">
        <v>6</v>
      </c>
      <c r="H10">
        <v>0</v>
      </c>
      <c r="I10">
        <v>5</v>
      </c>
      <c r="J10">
        <v>0</v>
      </c>
      <c r="K10" t="s">
        <v>172</v>
      </c>
      <c r="L10" t="s">
        <v>173</v>
      </c>
    </row>
    <row r="11" spans="1:18" x14ac:dyDescent="0.35">
      <c r="A11" t="s">
        <v>174</v>
      </c>
      <c r="B11" t="s">
        <v>175</v>
      </c>
      <c r="C11" t="s">
        <v>176</v>
      </c>
      <c r="D11" t="s">
        <v>177</v>
      </c>
      <c r="E11">
        <v>0</v>
      </c>
      <c r="F11">
        <v>0</v>
      </c>
      <c r="G11">
        <v>2</v>
      </c>
      <c r="H11">
        <v>0</v>
      </c>
      <c r="I11">
        <v>3</v>
      </c>
      <c r="J11">
        <v>0</v>
      </c>
      <c r="K11" t="s">
        <v>178</v>
      </c>
      <c r="L11" t="s">
        <v>179</v>
      </c>
    </row>
    <row r="12" spans="1:18" x14ac:dyDescent="0.35">
      <c r="A12" t="s">
        <v>180</v>
      </c>
      <c r="B12" t="s">
        <v>181</v>
      </c>
      <c r="C12" t="s">
        <v>176</v>
      </c>
      <c r="D12" t="s">
        <v>177</v>
      </c>
      <c r="E12">
        <v>0</v>
      </c>
      <c r="F12">
        <v>0</v>
      </c>
      <c r="G12">
        <v>4</v>
      </c>
      <c r="H12">
        <v>6</v>
      </c>
      <c r="I12">
        <v>0</v>
      </c>
      <c r="J12">
        <v>0</v>
      </c>
      <c r="K12" t="s">
        <v>182</v>
      </c>
      <c r="L12" t="s">
        <v>183</v>
      </c>
    </row>
    <row r="13" spans="1:18" x14ac:dyDescent="0.35">
      <c r="A13" t="s">
        <v>184</v>
      </c>
      <c r="B13" t="s">
        <v>185</v>
      </c>
      <c r="C13" t="s">
        <v>186</v>
      </c>
      <c r="D13" t="s">
        <v>187</v>
      </c>
      <c r="E13">
        <v>0</v>
      </c>
      <c r="F13">
        <v>0</v>
      </c>
      <c r="G13">
        <v>2</v>
      </c>
      <c r="H13">
        <v>0</v>
      </c>
      <c r="I13">
        <v>3</v>
      </c>
      <c r="J13">
        <v>0</v>
      </c>
      <c r="K13" t="s">
        <v>188</v>
      </c>
      <c r="L13" t="s">
        <v>189</v>
      </c>
    </row>
    <row r="14" spans="1:18" x14ac:dyDescent="0.35">
      <c r="A14" t="s">
        <v>190</v>
      </c>
      <c r="B14" t="s">
        <v>191</v>
      </c>
      <c r="C14" t="s">
        <v>186</v>
      </c>
      <c r="D14" t="s">
        <v>187</v>
      </c>
      <c r="E14">
        <v>0</v>
      </c>
      <c r="F14">
        <v>0</v>
      </c>
      <c r="G14">
        <v>3</v>
      </c>
      <c r="H14">
        <v>0</v>
      </c>
      <c r="I14">
        <v>5</v>
      </c>
      <c r="J14">
        <v>0</v>
      </c>
      <c r="K14" t="s">
        <v>188</v>
      </c>
      <c r="L14" t="s">
        <v>192</v>
      </c>
    </row>
    <row r="15" spans="1:18" x14ac:dyDescent="0.35">
      <c r="A15" t="s">
        <v>193</v>
      </c>
      <c r="B15" t="s">
        <v>194</v>
      </c>
      <c r="C15" t="s">
        <v>195</v>
      </c>
      <c r="D15" t="s">
        <v>195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 t="s">
        <v>196</v>
      </c>
      <c r="L15" t="s">
        <v>197</v>
      </c>
    </row>
    <row r="16" spans="1:18" x14ac:dyDescent="0.35">
      <c r="A16" t="s">
        <v>198</v>
      </c>
      <c r="B16" t="s">
        <v>199</v>
      </c>
      <c r="C16" t="s">
        <v>195</v>
      </c>
      <c r="D16" t="s">
        <v>195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 t="s">
        <v>196</v>
      </c>
      <c r="L16" t="s">
        <v>200</v>
      </c>
    </row>
    <row r="17" spans="1:12" x14ac:dyDescent="0.35">
      <c r="A17" t="s">
        <v>201</v>
      </c>
      <c r="B17" t="s">
        <v>202</v>
      </c>
      <c r="C17" t="s">
        <v>203</v>
      </c>
      <c r="D17" t="s">
        <v>203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 t="s">
        <v>204</v>
      </c>
      <c r="L17" t="s">
        <v>205</v>
      </c>
    </row>
    <row r="18" spans="1:12" x14ac:dyDescent="0.35">
      <c r="A18" t="s">
        <v>206</v>
      </c>
      <c r="B18" t="s">
        <v>207</v>
      </c>
      <c r="C18" t="s">
        <v>203</v>
      </c>
      <c r="D18" t="s">
        <v>203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 t="s">
        <v>204</v>
      </c>
      <c r="L18" t="s">
        <v>208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18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8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/>
  <dimension ref="A1:H1"/>
  <sheetViews>
    <sheetView workbookViewId="0"/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/>
  <dimension ref="A1:O7"/>
  <sheetViews>
    <sheetView workbookViewId="0">
      <selection activeCell="F22" sqref="F22"/>
    </sheetView>
  </sheetViews>
  <sheetFormatPr defaultRowHeight="14.5" x14ac:dyDescent="0.35"/>
  <cols>
    <col min="1" max="11" width="20.36328125" customWidth="1"/>
    <col min="12" max="12" width="38.90625" customWidth="1"/>
    <col min="13" max="13" width="32.453125" customWidth="1"/>
    <col min="14" max="14" width="32.81640625" customWidth="1"/>
  </cols>
  <sheetData>
    <row r="1" spans="1:15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28</v>
      </c>
      <c r="H1" s="1" t="s">
        <v>5</v>
      </c>
      <c r="I1" s="1" t="s">
        <v>29</v>
      </c>
      <c r="J1" s="1" t="s">
        <v>30</v>
      </c>
      <c r="K1" s="1" t="s">
        <v>31</v>
      </c>
      <c r="L1" s="1" t="s">
        <v>32</v>
      </c>
      <c r="M1" s="1" t="s">
        <v>33</v>
      </c>
      <c r="N1" s="1" t="s">
        <v>309</v>
      </c>
      <c r="O1" s="1" t="s">
        <v>11</v>
      </c>
    </row>
    <row r="2" spans="1:15" x14ac:dyDescent="0.35">
      <c r="A2" t="s">
        <v>209</v>
      </c>
      <c r="B2" t="s">
        <v>210</v>
      </c>
      <c r="C2" t="s">
        <v>211</v>
      </c>
      <c r="D2">
        <v>10</v>
      </c>
      <c r="E2">
        <v>1</v>
      </c>
      <c r="F2">
        <v>0</v>
      </c>
      <c r="G2">
        <v>45</v>
      </c>
      <c r="H2">
        <v>1</v>
      </c>
      <c r="I2">
        <v>25</v>
      </c>
      <c r="J2">
        <v>120</v>
      </c>
      <c r="K2">
        <v>20</v>
      </c>
      <c r="L2" t="s">
        <v>361</v>
      </c>
      <c r="M2" t="s">
        <v>362</v>
      </c>
      <c r="N2" t="s">
        <v>407</v>
      </c>
      <c r="O2" t="s">
        <v>424</v>
      </c>
    </row>
    <row r="3" spans="1:15" x14ac:dyDescent="0.35">
      <c r="A3" t="s">
        <v>228</v>
      </c>
      <c r="B3" t="s">
        <v>226</v>
      </c>
      <c r="C3" t="s">
        <v>211</v>
      </c>
      <c r="D3">
        <v>60</v>
      </c>
      <c r="E3">
        <v>1</v>
      </c>
      <c r="F3">
        <v>0</v>
      </c>
      <c r="G3">
        <v>80</v>
      </c>
      <c r="H3" s="2">
        <v>1</v>
      </c>
      <c r="I3">
        <v>28</v>
      </c>
      <c r="J3">
        <v>180</v>
      </c>
      <c r="K3">
        <v>30</v>
      </c>
      <c r="L3" t="s">
        <v>361</v>
      </c>
      <c r="M3" t="s">
        <v>416</v>
      </c>
      <c r="N3" t="s">
        <v>411</v>
      </c>
      <c r="O3" t="s">
        <v>425</v>
      </c>
    </row>
    <row r="4" spans="1:15" x14ac:dyDescent="0.35">
      <c r="A4" t="s">
        <v>426</v>
      </c>
      <c r="B4" t="s">
        <v>227</v>
      </c>
      <c r="C4" t="s">
        <v>211</v>
      </c>
      <c r="D4">
        <v>120</v>
      </c>
      <c r="E4">
        <v>1</v>
      </c>
      <c r="F4">
        <v>5</v>
      </c>
      <c r="G4">
        <v>70</v>
      </c>
      <c r="H4">
        <v>1</v>
      </c>
      <c r="I4">
        <v>30</v>
      </c>
      <c r="J4">
        <v>200</v>
      </c>
      <c r="K4">
        <v>50</v>
      </c>
      <c r="L4" t="s">
        <v>427</v>
      </c>
      <c r="M4" t="s">
        <v>391</v>
      </c>
      <c r="N4" t="s">
        <v>417</v>
      </c>
      <c r="O4" t="s">
        <v>428</v>
      </c>
    </row>
    <row r="5" spans="1:15" x14ac:dyDescent="0.35">
      <c r="A5" t="s">
        <v>247</v>
      </c>
      <c r="B5" t="s">
        <v>248</v>
      </c>
      <c r="C5" t="s">
        <v>249</v>
      </c>
      <c r="D5">
        <v>400</v>
      </c>
      <c r="E5">
        <v>2</v>
      </c>
      <c r="F5">
        <v>15</v>
      </c>
      <c r="G5">
        <v>80</v>
      </c>
      <c r="H5" s="2">
        <v>1</v>
      </c>
      <c r="I5">
        <v>35</v>
      </c>
      <c r="J5">
        <v>250</v>
      </c>
      <c r="K5">
        <v>150</v>
      </c>
      <c r="L5" t="s">
        <v>244</v>
      </c>
      <c r="M5" t="s">
        <v>391</v>
      </c>
      <c r="N5" t="s">
        <v>417</v>
      </c>
      <c r="O5" t="s">
        <v>429</v>
      </c>
    </row>
    <row r="7" spans="1:15" x14ac:dyDescent="0.35">
      <c r="H7" s="2"/>
    </row>
  </sheetData>
  <dataValidations count="3">
    <dataValidation type="list" errorStyle="warning" allowBlank="1" showInputMessage="1" showErrorMessage="1" errorTitle="Invalid ID" error="Please select a valid ID from the dropdown list." sqref="L2:L105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2:N105" xr:uid="{52B6572A-7F4C-4B97-8DE2-1A503F7AE9ED}">
      <formula1>ID_BehaviorProfiles</formula1>
    </dataValidation>
    <dataValidation type="list" errorStyle="warning" allowBlank="1" showInputMessage="1" showErrorMessage="1" errorTitle="Invalid Value" error="Please select a valid value from the dropdown list." sqref="C2:C105" xr:uid="{FDAE25E7-1581-4A6F-903D-717C5B85BDE0}">
      <formula1>"Normal,Miniboss,Boss"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97523-2681-4C6B-AD9E-D3BCE6E0E305}">
  <sheetPr codeName="List22"/>
  <dimension ref="A1:AC4"/>
  <sheetViews>
    <sheetView workbookViewId="0">
      <selection activeCell="O19" sqref="O19"/>
    </sheetView>
  </sheetViews>
  <sheetFormatPr defaultRowHeight="14.5" x14ac:dyDescent="0.35"/>
  <cols>
    <col min="1" max="1" width="24.36328125" customWidth="1"/>
    <col min="2" max="2" width="22.08984375" customWidth="1"/>
    <col min="3" max="3" width="26.08984375" customWidth="1"/>
    <col min="4" max="29" width="11.453125" customWidth="1"/>
  </cols>
  <sheetData>
    <row r="1" spans="1:29" x14ac:dyDescent="0.35">
      <c r="A1" s="1" t="s">
        <v>0</v>
      </c>
      <c r="B1" s="1" t="s">
        <v>1</v>
      </c>
      <c r="C1" s="1" t="s">
        <v>11</v>
      </c>
      <c r="D1" s="1" t="s">
        <v>324</v>
      </c>
      <c r="E1" s="1" t="s">
        <v>325</v>
      </c>
      <c r="F1" s="1" t="s">
        <v>326</v>
      </c>
      <c r="G1" s="1" t="s">
        <v>327</v>
      </c>
      <c r="H1" s="1" t="s">
        <v>328</v>
      </c>
      <c r="I1" s="1" t="s">
        <v>329</v>
      </c>
      <c r="J1" s="1" t="s">
        <v>30</v>
      </c>
      <c r="K1" s="1" t="s">
        <v>330</v>
      </c>
      <c r="L1" s="1" t="s">
        <v>331</v>
      </c>
      <c r="M1" s="1" t="s">
        <v>332</v>
      </c>
      <c r="N1" s="1" t="s">
        <v>333</v>
      </c>
      <c r="O1" s="1" t="s">
        <v>334</v>
      </c>
      <c r="P1" s="1" t="s">
        <v>335</v>
      </c>
      <c r="Q1" s="1" t="s">
        <v>336</v>
      </c>
      <c r="R1" s="1" t="s">
        <v>337</v>
      </c>
      <c r="S1" s="1" t="s">
        <v>338</v>
      </c>
      <c r="T1" s="1" t="s">
        <v>339</v>
      </c>
      <c r="U1" s="1" t="s">
        <v>340</v>
      </c>
      <c r="V1" s="1" t="s">
        <v>341</v>
      </c>
      <c r="W1" s="1" t="s">
        <v>342</v>
      </c>
      <c r="X1" s="1" t="s">
        <v>343</v>
      </c>
      <c r="Y1" s="1" t="s">
        <v>344</v>
      </c>
      <c r="Z1" s="1" t="s">
        <v>345</v>
      </c>
      <c r="AA1" s="1" t="s">
        <v>346</v>
      </c>
      <c r="AB1" s="1" t="s">
        <v>347</v>
      </c>
      <c r="AC1" s="1" t="s">
        <v>348</v>
      </c>
    </row>
    <row r="2" spans="1:29" x14ac:dyDescent="0.35">
      <c r="A2" t="s">
        <v>407</v>
      </c>
      <c r="B2" t="s">
        <v>408</v>
      </c>
      <c r="C2" t="s">
        <v>409</v>
      </c>
      <c r="D2" t="s">
        <v>355</v>
      </c>
      <c r="E2">
        <v>60</v>
      </c>
      <c r="F2" t="s">
        <v>356</v>
      </c>
      <c r="G2">
        <v>3</v>
      </c>
      <c r="H2">
        <v>8</v>
      </c>
      <c r="I2" t="s">
        <v>272</v>
      </c>
      <c r="J2">
        <v>120</v>
      </c>
      <c r="K2" t="s">
        <v>357</v>
      </c>
      <c r="L2" t="s">
        <v>271</v>
      </c>
      <c r="M2">
        <v>15</v>
      </c>
      <c r="N2">
        <v>400</v>
      </c>
      <c r="O2" t="s">
        <v>358</v>
      </c>
      <c r="P2" t="s">
        <v>359</v>
      </c>
      <c r="Q2">
        <v>20</v>
      </c>
      <c r="R2">
        <v>1</v>
      </c>
      <c r="S2">
        <v>0</v>
      </c>
      <c r="T2">
        <v>0</v>
      </c>
      <c r="U2">
        <v>0</v>
      </c>
      <c r="W2">
        <v>0</v>
      </c>
      <c r="X2">
        <v>0</v>
      </c>
      <c r="Y2">
        <v>0</v>
      </c>
      <c r="Z2">
        <v>1</v>
      </c>
      <c r="AA2">
        <v>1</v>
      </c>
      <c r="AB2" t="s">
        <v>360</v>
      </c>
      <c r="AC2" t="s">
        <v>410</v>
      </c>
    </row>
    <row r="3" spans="1:29" x14ac:dyDescent="0.35">
      <c r="A3" t="s">
        <v>411</v>
      </c>
      <c r="B3" t="s">
        <v>412</v>
      </c>
      <c r="C3" t="s">
        <v>413</v>
      </c>
      <c r="D3" t="s">
        <v>355</v>
      </c>
      <c r="E3">
        <v>120</v>
      </c>
      <c r="F3" t="s">
        <v>356</v>
      </c>
      <c r="G3">
        <v>1</v>
      </c>
      <c r="H3">
        <v>3</v>
      </c>
      <c r="I3" t="s">
        <v>272</v>
      </c>
      <c r="J3">
        <v>180</v>
      </c>
      <c r="K3" t="s">
        <v>357</v>
      </c>
      <c r="L3" t="s">
        <v>271</v>
      </c>
      <c r="M3">
        <v>8</v>
      </c>
      <c r="N3">
        <v>350</v>
      </c>
      <c r="O3" t="s">
        <v>358</v>
      </c>
      <c r="P3" t="s">
        <v>414</v>
      </c>
      <c r="Q3">
        <v>25</v>
      </c>
      <c r="R3" s="2">
        <v>1</v>
      </c>
      <c r="S3">
        <v>0</v>
      </c>
      <c r="T3">
        <v>0</v>
      </c>
      <c r="U3">
        <v>0</v>
      </c>
      <c r="W3">
        <v>50</v>
      </c>
      <c r="X3">
        <v>0</v>
      </c>
      <c r="Y3">
        <v>0</v>
      </c>
      <c r="Z3">
        <v>1</v>
      </c>
      <c r="AA3">
        <v>1</v>
      </c>
      <c r="AB3" t="s">
        <v>415</v>
      </c>
      <c r="AC3" t="s">
        <v>416</v>
      </c>
    </row>
    <row r="4" spans="1:29" x14ac:dyDescent="0.35">
      <c r="A4" t="s">
        <v>417</v>
      </c>
      <c r="B4" t="s">
        <v>418</v>
      </c>
      <c r="C4" t="s">
        <v>419</v>
      </c>
      <c r="D4" t="s">
        <v>420</v>
      </c>
      <c r="E4">
        <v>0</v>
      </c>
      <c r="F4">
        <v>0</v>
      </c>
      <c r="G4">
        <v>0</v>
      </c>
      <c r="H4">
        <v>0</v>
      </c>
      <c r="I4" t="s">
        <v>272</v>
      </c>
      <c r="J4">
        <v>200</v>
      </c>
      <c r="K4" t="s">
        <v>357</v>
      </c>
      <c r="L4" t="s">
        <v>271</v>
      </c>
      <c r="M4">
        <v>20</v>
      </c>
      <c r="N4">
        <v>500</v>
      </c>
      <c r="O4" t="s">
        <v>421</v>
      </c>
      <c r="P4" t="s">
        <v>422</v>
      </c>
      <c r="Q4">
        <v>60</v>
      </c>
      <c r="R4">
        <v>1</v>
      </c>
      <c r="S4">
        <v>0</v>
      </c>
      <c r="T4">
        <v>80</v>
      </c>
      <c r="U4" s="2">
        <v>0</v>
      </c>
      <c r="W4">
        <v>0</v>
      </c>
      <c r="X4">
        <v>0</v>
      </c>
      <c r="Y4">
        <v>0</v>
      </c>
      <c r="Z4" s="2">
        <v>1</v>
      </c>
      <c r="AA4">
        <v>1</v>
      </c>
      <c r="AB4" t="s">
        <v>415</v>
      </c>
      <c r="AC4" t="s">
        <v>423</v>
      </c>
    </row>
  </sheetData>
  <dataValidations count="7">
    <dataValidation type="list" errorStyle="warning" allowBlank="1" showInputMessage="1" showErrorMessage="1" errorTitle="Invalid Value" error="Please select a valid value from the dropdown list." sqref="D2:D104" xr:uid="{A9068E5A-2DA8-4727-93B0-A6BCCFF47B2C}">
      <formula1>"stand,roam,patrol"</formula1>
    </dataValidation>
    <dataValidation type="list" errorStyle="warning" allowBlank="1" showInputMessage="1" showErrorMessage="1" errorTitle="Invalid Value" error="Please select a valid value from the dropdown list." sqref="K2:K104" xr:uid="{6839EAC4-26BC-47BC-B76F-C00D5CA4FBA8}">
      <formula1>"sight,none"</formula1>
    </dataValidation>
    <dataValidation type="list" errorStyle="warning" allowBlank="1" showInputMessage="1" showErrorMessage="1" errorTitle="Invalid Value" error="Please select a valid value from the dropdown list." sqref="O2:O104" xr:uid="{C8828227-6C81-44FC-A175-E24EF4C8A039}">
      <formula1>"aggressive,ranged,opportunist,hit_run"</formula1>
    </dataValidation>
    <dataValidation type="list" errorStyle="warning" allowBlank="1" showInputMessage="1" showErrorMessage="1" errorTitle="Invalid Value" error="Please select a valid value from the dropdown list." sqref="P2:P104" xr:uid="{EF0D4FE8-2E6C-43B5-A6AA-FDB709C054C0}">
      <formula1>"direct,charge,kite,phase,circle"</formula1>
    </dataValidation>
    <dataValidation type="list" errorStyle="warning" allowBlank="1" showInputMessage="1" showErrorMessage="1" errorTitle="Invalid Value" error="Please select a valid value from the dropdown list." sqref="V2:V104" xr:uid="{24C4882D-235C-475C-9A65-4DCB0033544F}">
      <formula1>"clockwise,counter,random"</formula1>
    </dataValidation>
    <dataValidation type="list" errorStyle="warning" allowBlank="1" showInputMessage="1" showErrorMessage="1" errorTitle="Invalid Value" error="Please select a valid value from the dropdown list." sqref="AB2:AB104" xr:uid="{2B742574-94F9-4FFD-9154-43DB98E8117D}">
      <formula1>"highest,conditional,random_weighted"</formula1>
    </dataValidation>
    <dataValidation type="list" errorStyle="warning" allowBlank="1" showInputMessage="1" showErrorMessage="1" errorTitle="Invalid Value" error="Please select a valid value from the dropdown list." sqref="I2:I104 L2:L104" xr:uid="{46E26D7A-BF4D-4945-BEFC-FBFE4F321A4A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7391-8E1E-4160-BED1-82E2BC3E5FFC}">
  <sheetPr codeName="List6"/>
  <dimension ref="A1:U10"/>
  <sheetViews>
    <sheetView workbookViewId="0">
      <selection activeCell="E25" sqref="E25"/>
    </sheetView>
  </sheetViews>
  <sheetFormatPr defaultRowHeight="14.5" x14ac:dyDescent="0.35"/>
  <cols>
    <col min="1" max="20" width="16.90625" customWidth="1"/>
  </cols>
  <sheetData>
    <row r="1" spans="1:21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310</v>
      </c>
      <c r="F1" s="1" t="s">
        <v>34</v>
      </c>
      <c r="G1" s="1" t="s">
        <v>35</v>
      </c>
      <c r="H1" s="1" t="s">
        <v>311</v>
      </c>
      <c r="I1" s="1" t="s">
        <v>312</v>
      </c>
      <c r="J1" s="1" t="s">
        <v>313</v>
      </c>
      <c r="K1" s="1" t="s">
        <v>314</v>
      </c>
      <c r="L1" s="1" t="s">
        <v>315</v>
      </c>
      <c r="M1" s="1" t="s">
        <v>316</v>
      </c>
      <c r="N1" s="1" t="s">
        <v>317</v>
      </c>
      <c r="O1" s="1" t="s">
        <v>318</v>
      </c>
      <c r="P1" s="1" t="s">
        <v>319</v>
      </c>
      <c r="Q1" s="1" t="s">
        <v>320</v>
      </c>
      <c r="R1" s="1" t="s">
        <v>321</v>
      </c>
      <c r="S1" s="1" t="s">
        <v>322</v>
      </c>
      <c r="T1" s="1" t="s">
        <v>323</v>
      </c>
      <c r="U1" s="1" t="s">
        <v>431</v>
      </c>
    </row>
    <row r="2" spans="1:21" x14ac:dyDescent="0.35">
      <c r="A2" t="s">
        <v>362</v>
      </c>
      <c r="B2" t="s">
        <v>363</v>
      </c>
      <c r="C2" t="s">
        <v>364</v>
      </c>
      <c r="D2" t="s">
        <v>349</v>
      </c>
      <c r="E2" s="2">
        <v>1</v>
      </c>
      <c r="F2" t="s">
        <v>350</v>
      </c>
      <c r="G2">
        <v>2</v>
      </c>
      <c r="H2">
        <v>0</v>
      </c>
      <c r="I2">
        <v>25</v>
      </c>
      <c r="J2" t="s">
        <v>351</v>
      </c>
      <c r="K2">
        <v>20</v>
      </c>
      <c r="L2">
        <v>0</v>
      </c>
      <c r="M2" t="s">
        <v>352</v>
      </c>
      <c r="N2" t="s">
        <v>353</v>
      </c>
      <c r="O2" t="s">
        <v>354</v>
      </c>
      <c r="P2">
        <v>1</v>
      </c>
      <c r="R2" t="s">
        <v>438</v>
      </c>
      <c r="S2">
        <v>0</v>
      </c>
      <c r="T2">
        <v>0</v>
      </c>
    </row>
    <row r="3" spans="1:21" x14ac:dyDescent="0.35">
      <c r="A3" t="s">
        <v>365</v>
      </c>
      <c r="B3" t="s">
        <v>366</v>
      </c>
      <c r="C3" t="s">
        <v>367</v>
      </c>
      <c r="D3" t="s">
        <v>349</v>
      </c>
      <c r="E3">
        <v>2</v>
      </c>
      <c r="F3" t="s">
        <v>350</v>
      </c>
      <c r="G3">
        <v>4</v>
      </c>
      <c r="H3">
        <v>0</v>
      </c>
      <c r="I3">
        <v>30</v>
      </c>
      <c r="J3" t="s">
        <v>351</v>
      </c>
      <c r="K3">
        <v>35</v>
      </c>
      <c r="L3">
        <v>0</v>
      </c>
      <c r="M3" t="s">
        <v>352</v>
      </c>
      <c r="N3" t="s">
        <v>353</v>
      </c>
      <c r="O3" t="s">
        <v>354</v>
      </c>
      <c r="P3">
        <v>2</v>
      </c>
      <c r="Q3" t="s">
        <v>368</v>
      </c>
      <c r="R3" t="s">
        <v>369</v>
      </c>
      <c r="S3">
        <v>0</v>
      </c>
      <c r="T3">
        <v>0</v>
      </c>
    </row>
    <row r="4" spans="1:21" x14ac:dyDescent="0.35">
      <c r="A4" t="s">
        <v>370</v>
      </c>
      <c r="B4" t="s">
        <v>371</v>
      </c>
      <c r="C4" t="s">
        <v>372</v>
      </c>
      <c r="D4" t="s">
        <v>349</v>
      </c>
      <c r="E4">
        <v>1</v>
      </c>
      <c r="F4" t="s">
        <v>350</v>
      </c>
      <c r="G4">
        <v>0</v>
      </c>
      <c r="H4">
        <v>0</v>
      </c>
      <c r="I4">
        <v>28</v>
      </c>
      <c r="J4" t="s">
        <v>373</v>
      </c>
      <c r="K4">
        <v>30</v>
      </c>
      <c r="L4">
        <v>60</v>
      </c>
      <c r="M4" t="s">
        <v>352</v>
      </c>
      <c r="N4" t="s">
        <v>353</v>
      </c>
      <c r="O4" t="s">
        <v>354</v>
      </c>
      <c r="P4">
        <v>1</v>
      </c>
      <c r="S4">
        <v>0</v>
      </c>
      <c r="T4">
        <v>0</v>
      </c>
    </row>
    <row r="5" spans="1:21" x14ac:dyDescent="0.35">
      <c r="A5" t="s">
        <v>374</v>
      </c>
      <c r="B5" t="s">
        <v>375</v>
      </c>
      <c r="C5" t="s">
        <v>376</v>
      </c>
      <c r="D5" t="s">
        <v>377</v>
      </c>
      <c r="E5" s="2">
        <v>1</v>
      </c>
      <c r="F5" t="s">
        <v>350</v>
      </c>
      <c r="G5">
        <v>5</v>
      </c>
      <c r="H5">
        <v>40</v>
      </c>
      <c r="I5">
        <v>250</v>
      </c>
      <c r="J5" t="s">
        <v>351</v>
      </c>
      <c r="K5">
        <v>40</v>
      </c>
      <c r="L5">
        <v>0</v>
      </c>
      <c r="M5" t="s">
        <v>352</v>
      </c>
      <c r="N5" t="s">
        <v>353</v>
      </c>
      <c r="O5" t="s">
        <v>354</v>
      </c>
      <c r="P5">
        <v>3</v>
      </c>
      <c r="Q5" t="s">
        <v>378</v>
      </c>
      <c r="S5">
        <v>0</v>
      </c>
      <c r="T5">
        <v>300</v>
      </c>
    </row>
    <row r="6" spans="1:21" x14ac:dyDescent="0.35">
      <c r="A6" t="s">
        <v>379</v>
      </c>
      <c r="B6" t="s">
        <v>380</v>
      </c>
      <c r="C6" t="s">
        <v>381</v>
      </c>
      <c r="D6" t="s">
        <v>349</v>
      </c>
      <c r="E6">
        <v>1</v>
      </c>
      <c r="F6" t="s">
        <v>350</v>
      </c>
      <c r="G6">
        <v>8</v>
      </c>
      <c r="H6">
        <v>0</v>
      </c>
      <c r="I6">
        <v>25</v>
      </c>
      <c r="J6" t="s">
        <v>373</v>
      </c>
      <c r="K6">
        <v>25</v>
      </c>
      <c r="L6">
        <v>90</v>
      </c>
      <c r="M6" t="s">
        <v>352</v>
      </c>
      <c r="N6" t="s">
        <v>353</v>
      </c>
      <c r="O6" t="s">
        <v>354</v>
      </c>
      <c r="P6">
        <v>2</v>
      </c>
      <c r="Q6" t="s">
        <v>382</v>
      </c>
      <c r="S6">
        <v>0</v>
      </c>
      <c r="T6">
        <v>0</v>
      </c>
    </row>
    <row r="7" spans="1:21" x14ac:dyDescent="0.35">
      <c r="A7" t="s">
        <v>383</v>
      </c>
      <c r="B7" t="s">
        <v>384</v>
      </c>
      <c r="C7" t="s">
        <v>385</v>
      </c>
      <c r="D7" t="s">
        <v>386</v>
      </c>
      <c r="E7">
        <v>1</v>
      </c>
      <c r="F7" t="s">
        <v>387</v>
      </c>
      <c r="G7">
        <v>3</v>
      </c>
      <c r="H7">
        <v>20</v>
      </c>
      <c r="I7">
        <v>80</v>
      </c>
      <c r="J7" t="s">
        <v>388</v>
      </c>
      <c r="K7">
        <v>60</v>
      </c>
      <c r="L7">
        <v>15</v>
      </c>
      <c r="M7" t="s">
        <v>352</v>
      </c>
      <c r="N7" t="s">
        <v>353</v>
      </c>
      <c r="O7" t="s">
        <v>389</v>
      </c>
      <c r="P7">
        <v>2</v>
      </c>
      <c r="R7" t="s">
        <v>390</v>
      </c>
      <c r="S7">
        <v>0</v>
      </c>
      <c r="T7">
        <v>0</v>
      </c>
    </row>
    <row r="8" spans="1:21" x14ac:dyDescent="0.35">
      <c r="A8" t="s">
        <v>391</v>
      </c>
      <c r="B8" t="s">
        <v>392</v>
      </c>
      <c r="C8" t="s">
        <v>393</v>
      </c>
      <c r="D8" t="s">
        <v>394</v>
      </c>
      <c r="E8">
        <v>1</v>
      </c>
      <c r="F8" t="s">
        <v>350</v>
      </c>
      <c r="G8">
        <v>6</v>
      </c>
      <c r="H8">
        <v>30</v>
      </c>
      <c r="I8">
        <v>150</v>
      </c>
      <c r="J8" t="s">
        <v>351</v>
      </c>
      <c r="K8">
        <v>25</v>
      </c>
      <c r="L8">
        <v>0</v>
      </c>
      <c r="M8" t="s">
        <v>352</v>
      </c>
      <c r="N8" t="s">
        <v>353</v>
      </c>
      <c r="O8" t="s">
        <v>389</v>
      </c>
      <c r="P8">
        <v>1</v>
      </c>
      <c r="S8">
        <v>120</v>
      </c>
      <c r="T8">
        <v>0</v>
      </c>
      <c r="U8" t="s">
        <v>272</v>
      </c>
    </row>
    <row r="9" spans="1:21" x14ac:dyDescent="0.35">
      <c r="A9" t="s">
        <v>395</v>
      </c>
      <c r="B9" t="s">
        <v>396</v>
      </c>
      <c r="C9" t="s">
        <v>397</v>
      </c>
      <c r="D9" t="s">
        <v>398</v>
      </c>
      <c r="E9" s="2">
        <v>1</v>
      </c>
      <c r="F9" t="s">
        <v>387</v>
      </c>
      <c r="G9">
        <v>10</v>
      </c>
      <c r="H9">
        <v>50</v>
      </c>
      <c r="I9">
        <v>200</v>
      </c>
      <c r="J9" t="s">
        <v>351</v>
      </c>
      <c r="K9">
        <v>30</v>
      </c>
      <c r="L9">
        <v>0</v>
      </c>
      <c r="M9" t="s">
        <v>352</v>
      </c>
      <c r="N9" t="s">
        <v>353</v>
      </c>
      <c r="O9" t="s">
        <v>354</v>
      </c>
      <c r="P9">
        <v>4</v>
      </c>
      <c r="Q9" t="s">
        <v>399</v>
      </c>
      <c r="S9">
        <v>0</v>
      </c>
      <c r="T9">
        <v>400</v>
      </c>
    </row>
    <row r="10" spans="1:21" x14ac:dyDescent="0.35">
      <c r="A10" t="s">
        <v>400</v>
      </c>
      <c r="B10" t="s">
        <v>401</v>
      </c>
      <c r="C10" t="s">
        <v>402</v>
      </c>
      <c r="D10" t="s">
        <v>403</v>
      </c>
      <c r="E10" s="2">
        <v>1</v>
      </c>
      <c r="F10" t="s">
        <v>387</v>
      </c>
      <c r="G10">
        <v>12</v>
      </c>
      <c r="H10">
        <v>0</v>
      </c>
      <c r="I10">
        <v>60</v>
      </c>
      <c r="J10" t="s">
        <v>404</v>
      </c>
      <c r="K10">
        <v>80</v>
      </c>
      <c r="L10">
        <v>0</v>
      </c>
      <c r="M10">
        <v>1</v>
      </c>
      <c r="N10" t="s">
        <v>353</v>
      </c>
      <c r="O10" t="s">
        <v>389</v>
      </c>
      <c r="P10">
        <v>3</v>
      </c>
      <c r="Q10" t="s">
        <v>405</v>
      </c>
      <c r="R10" t="s">
        <v>406</v>
      </c>
      <c r="S10">
        <v>0</v>
      </c>
      <c r="T10">
        <v>0</v>
      </c>
    </row>
  </sheetData>
  <dataValidations count="4">
    <dataValidation type="list" errorStyle="warning" allowBlank="1" showInputMessage="1" showErrorMessage="1" errorTitle="Invalid Value" error="Please select a valid value from the dropdown list." sqref="D2:D110" xr:uid="{9AE8A5F6-DBB7-409C-AC12-060126C9D532}">
      <formula1>"melee,dash_attack,aoe,projectile,pattern,teleport_attack,beam"</formula1>
    </dataValidation>
    <dataValidation type="list" errorStyle="warning" allowBlank="1" showInputMessage="1" showErrorMessage="1" errorTitle="Invalid Value" error="Please select a valid value from the dropdown list." sqref="F2:F110" xr:uid="{B6C1B055-2928-4A26-8810-5B89F675FBA2}">
      <formula1>"physical,fire,cold,lightning,poison,chaos,pure"</formula1>
    </dataValidation>
    <dataValidation type="list" errorStyle="warning" allowBlank="1" showInputMessage="1" showErrorMessage="1" errorTitle="Invalid Value" error="Please select a valid value from the dropdown list." sqref="J2:J110" xr:uid="{3938628E-D913-46F0-AB74-F1A49D6E5A29}">
      <formula1>"circle,cone,line,cross,ring"</formula1>
    </dataValidation>
    <dataValidation type="list" errorStyle="warning" allowBlank="1" showInputMessage="1" showErrorMessage="1" errorTitle="Invalid Value" error="Please select a valid value from the dropdown list." sqref="U2:U110" xr:uid="{C6381D86-6138-4F0D-82F0-9F762242034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/>
  <dimension ref="A1:G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36</v>
      </c>
      <c r="D1" s="1" t="s">
        <v>37</v>
      </c>
      <c r="E1" s="1" t="s">
        <v>38</v>
      </c>
      <c r="F1" s="1" t="s">
        <v>39</v>
      </c>
      <c r="G1" s="1" t="s">
        <v>40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/>
  <dimension ref="A1:N3"/>
  <sheetViews>
    <sheetView workbookViewId="0">
      <selection activeCell="P8" sqref="P8"/>
    </sheetView>
  </sheetViews>
  <sheetFormatPr defaultRowHeight="14.5" x14ac:dyDescent="0.35"/>
  <cols>
    <col min="1" max="1" width="38.81640625" customWidth="1"/>
  </cols>
  <sheetData>
    <row r="1" spans="1:14" x14ac:dyDescent="0.35">
      <c r="A1" s="1" t="s">
        <v>0</v>
      </c>
      <c r="B1" s="1" t="s">
        <v>1</v>
      </c>
      <c r="C1" s="1" t="s">
        <v>41</v>
      </c>
      <c r="D1" s="1" t="s">
        <v>42</v>
      </c>
      <c r="E1" s="1" t="s">
        <v>43</v>
      </c>
      <c r="F1" s="1" t="s">
        <v>44</v>
      </c>
      <c r="G1" s="1" t="s">
        <v>45</v>
      </c>
      <c r="H1" s="1" t="s">
        <v>46</v>
      </c>
      <c r="I1" s="1" t="s">
        <v>47</v>
      </c>
      <c r="J1" s="1" t="s">
        <v>48</v>
      </c>
      <c r="K1" s="1" t="s">
        <v>49</v>
      </c>
      <c r="L1" s="1" t="s">
        <v>50</v>
      </c>
      <c r="M1" s="1" t="s">
        <v>51</v>
      </c>
    </row>
    <row r="2" spans="1:14" x14ac:dyDescent="0.35">
      <c r="A2" t="s">
        <v>242</v>
      </c>
      <c r="B2" t="s">
        <v>243</v>
      </c>
      <c r="C2">
        <v>1</v>
      </c>
      <c r="D2">
        <v>1</v>
      </c>
      <c r="E2">
        <v>0</v>
      </c>
      <c r="F2">
        <v>100</v>
      </c>
      <c r="G2">
        <v>0</v>
      </c>
      <c r="H2">
        <v>0</v>
      </c>
      <c r="I2">
        <v>0</v>
      </c>
      <c r="J2">
        <v>0</v>
      </c>
      <c r="K2">
        <v>0</v>
      </c>
      <c r="L2" t="s">
        <v>129</v>
      </c>
      <c r="M2" t="s">
        <v>129</v>
      </c>
    </row>
    <row r="3" spans="1:14" x14ac:dyDescent="0.35">
      <c r="A3" s="6" t="s">
        <v>244</v>
      </c>
      <c r="B3" s="6" t="s">
        <v>245</v>
      </c>
      <c r="C3" s="6">
        <v>1</v>
      </c>
      <c r="D3" s="6">
        <v>1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50</v>
      </c>
      <c r="K3" s="6">
        <v>100</v>
      </c>
      <c r="L3" s="6"/>
      <c r="M3" s="6" t="s">
        <v>246</v>
      </c>
      <c r="N3" s="6"/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4ED6B-2976-428B-A9DC-A10840A7CCCE}">
  <sheetPr codeName="List9"/>
  <dimension ref="A1:R1"/>
  <sheetViews>
    <sheetView workbookViewId="0"/>
  </sheetViews>
  <sheetFormatPr defaultRowHeight="14.5" x14ac:dyDescent="0.35"/>
  <sheetData>
    <row r="1" spans="1:18" x14ac:dyDescent="0.35">
      <c r="A1" s="1" t="s">
        <v>0</v>
      </c>
      <c r="B1" s="1" t="s">
        <v>1</v>
      </c>
      <c r="C1" s="1" t="s">
        <v>12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35</v>
      </c>
      <c r="J1" s="1" t="s">
        <v>4</v>
      </c>
      <c r="K1" s="1" t="s">
        <v>57</v>
      </c>
      <c r="L1" s="1" t="s">
        <v>58</v>
      </c>
      <c r="M1" s="1" t="s">
        <v>59</v>
      </c>
      <c r="N1" s="1" t="s">
        <v>60</v>
      </c>
      <c r="O1" s="1" t="s">
        <v>61</v>
      </c>
      <c r="P1" s="1" t="s">
        <v>62</v>
      </c>
      <c r="Q1" s="1" t="s">
        <v>11</v>
      </c>
      <c r="R1" s="1" t="s">
        <v>63</v>
      </c>
    </row>
  </sheetData>
  <autoFilter ref="A1:R1" xr:uid="{3034ED6B-2976-428B-A9DC-A10840A7CCCE}"/>
  <dataValidations count="3">
    <dataValidation type="list" errorStyle="warning" allowBlank="1" showInputMessage="1" showErrorMessage="1" errorTitle="Invalid Value" error="Please select a valid value from the dropdown list." sqref="C2:C200" xr:uid="{DFC38CBF-9103-4F87-A7CA-5CCB2D9492BA}">
      <formula1>"active,passive,buff,toggle"</formula1>
    </dataValidation>
    <dataValidation type="list" errorStyle="warning" allowBlank="1" showInputMessage="1" showErrorMessage="1" errorTitle="Invalid Value" error="Please select a valid value from the dropdown list." sqref="D2:D200" xr:uid="{57682DC4-D456-49AC-B7A8-60C9F0D28DAB}">
      <formula1>"combat,magic,utility"</formula1>
    </dataValidation>
    <dataValidation type="list" errorStyle="warning" allowBlank="1" showInputMessage="1" showErrorMessage="1" errorTitle="Invalid Value" error="Please select a valid value from the dropdown list." sqref="L2:L200" xr:uid="{DC389D4F-C6BD-4B40-88DE-9284BE909D3C}">
      <formula1>"damage,heal,buff,debuff,summon,teleport,projectile"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75</v>
      </c>
      <c r="D1" s="1" t="s">
        <v>3</v>
      </c>
      <c r="E1" s="1" t="s">
        <v>76</v>
      </c>
      <c r="F1" s="1" t="s">
        <v>77</v>
      </c>
      <c r="G1" s="1" t="s">
        <v>78</v>
      </c>
      <c r="H1" s="1" t="s">
        <v>79</v>
      </c>
      <c r="I1" s="1" t="s">
        <v>80</v>
      </c>
      <c r="J1" s="1" t="s">
        <v>81</v>
      </c>
    </row>
  </sheetData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82</v>
      </c>
      <c r="D1" s="1" t="s">
        <v>58</v>
      </c>
      <c r="E1" s="1" t="s">
        <v>59</v>
      </c>
      <c r="F1" s="1" t="s">
        <v>61</v>
      </c>
      <c r="G1" s="1" t="s">
        <v>35</v>
      </c>
      <c r="H1" s="1" t="s">
        <v>83</v>
      </c>
      <c r="I1" s="1" t="s">
        <v>84</v>
      </c>
      <c r="J1" s="1" t="s">
        <v>11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/>
  <dimension ref="A1:L2"/>
  <sheetViews>
    <sheetView workbookViewId="0">
      <selection activeCell="N16" sqref="N16:O16"/>
    </sheetView>
  </sheetViews>
  <sheetFormatPr defaultRowHeight="14.5" x14ac:dyDescent="0.35"/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85</v>
      </c>
      <c r="E1" s="1" t="s">
        <v>86</v>
      </c>
      <c r="F1" s="1" t="s">
        <v>61</v>
      </c>
      <c r="G1" s="1" t="s">
        <v>87</v>
      </c>
      <c r="H1" s="1" t="s">
        <v>40</v>
      </c>
      <c r="I1" s="1" t="s">
        <v>88</v>
      </c>
      <c r="J1" s="1" t="s">
        <v>89</v>
      </c>
      <c r="K1" s="1" t="s">
        <v>439</v>
      </c>
      <c r="L1" s="1" t="s">
        <v>11</v>
      </c>
    </row>
    <row r="2" spans="1:12" x14ac:dyDescent="0.35">
      <c r="A2" t="s">
        <v>432</v>
      </c>
      <c r="B2" t="s">
        <v>433</v>
      </c>
      <c r="C2" t="s">
        <v>434</v>
      </c>
      <c r="D2" t="s">
        <v>435</v>
      </c>
      <c r="E2">
        <v>-3</v>
      </c>
      <c r="F2">
        <v>5</v>
      </c>
      <c r="G2">
        <v>1</v>
      </c>
      <c r="H2" t="s">
        <v>436</v>
      </c>
      <c r="I2" t="s">
        <v>437</v>
      </c>
      <c r="J2">
        <v>1</v>
      </c>
      <c r="K2" t="s">
        <v>220</v>
      </c>
      <c r="L2" t="s">
        <v>440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/>
  <dimension ref="A1:O6"/>
  <sheetViews>
    <sheetView zoomScale="130" zoomScaleNormal="130" workbookViewId="0">
      <selection activeCell="F3" sqref="F3"/>
    </sheetView>
  </sheetViews>
  <sheetFormatPr defaultRowHeight="14.5" x14ac:dyDescent="0.35"/>
  <cols>
    <col min="1" max="7" width="18.81640625" customWidth="1"/>
    <col min="8" max="8" width="15.6328125" customWidth="1"/>
  </cols>
  <sheetData>
    <row r="1" spans="1:15" x14ac:dyDescent="0.35">
      <c r="A1" s="1" t="s">
        <v>0</v>
      </c>
      <c r="B1" s="1" t="s">
        <v>1</v>
      </c>
      <c r="C1" s="1" t="s">
        <v>90</v>
      </c>
      <c r="D1" s="1" t="s">
        <v>25</v>
      </c>
      <c r="E1" s="1" t="s">
        <v>54</v>
      </c>
      <c r="F1" s="1" t="s">
        <v>91</v>
      </c>
      <c r="G1" s="1" t="s">
        <v>32</v>
      </c>
      <c r="H1" s="1" t="s">
        <v>92</v>
      </c>
      <c r="I1" s="1" t="s">
        <v>93</v>
      </c>
      <c r="J1" s="1" t="s">
        <v>460</v>
      </c>
      <c r="K1" s="1" t="s">
        <v>461</v>
      </c>
      <c r="L1" s="1" t="s">
        <v>462</v>
      </c>
      <c r="M1" s="1" t="s">
        <v>463</v>
      </c>
      <c r="N1" s="1" t="s">
        <v>464</v>
      </c>
      <c r="O1" s="1" t="s">
        <v>11</v>
      </c>
    </row>
    <row r="2" spans="1:15" ht="15" thickBot="1" x14ac:dyDescent="0.4">
      <c r="A2" s="3" t="s">
        <v>229</v>
      </c>
      <c r="B2" s="3" t="s">
        <v>230</v>
      </c>
      <c r="C2" s="3" t="s">
        <v>231</v>
      </c>
      <c r="D2" s="3">
        <v>1</v>
      </c>
      <c r="E2" s="3">
        <v>99</v>
      </c>
      <c r="F2" s="3"/>
      <c r="G2" s="4" t="s">
        <v>232</v>
      </c>
    </row>
    <row r="3" spans="1:15" ht="15" thickBot="1" x14ac:dyDescent="0.4">
      <c r="A3" s="3" t="s">
        <v>233</v>
      </c>
      <c r="B3" s="3" t="s">
        <v>234</v>
      </c>
      <c r="C3" s="3" t="s">
        <v>235</v>
      </c>
      <c r="D3" s="3">
        <v>1</v>
      </c>
      <c r="E3" s="3">
        <v>3</v>
      </c>
      <c r="F3" s="3" t="s">
        <v>209</v>
      </c>
      <c r="G3" s="4" t="s">
        <v>236</v>
      </c>
      <c r="K3">
        <v>120</v>
      </c>
    </row>
    <row r="4" spans="1:15" ht="15" thickBot="1" x14ac:dyDescent="0.4">
      <c r="A4" s="3" t="s">
        <v>237</v>
      </c>
      <c r="B4" s="3" t="s">
        <v>466</v>
      </c>
      <c r="C4" s="3" t="s">
        <v>235</v>
      </c>
      <c r="D4" s="3">
        <v>1</v>
      </c>
      <c r="E4" s="3">
        <v>10</v>
      </c>
      <c r="F4" s="3" t="s">
        <v>467</v>
      </c>
      <c r="G4" s="4" t="s">
        <v>468</v>
      </c>
      <c r="H4">
        <v>60</v>
      </c>
      <c r="I4" t="s">
        <v>469</v>
      </c>
      <c r="J4" t="s">
        <v>470</v>
      </c>
      <c r="K4" t="s">
        <v>272</v>
      </c>
      <c r="L4" t="s">
        <v>272</v>
      </c>
      <c r="N4" t="s">
        <v>271</v>
      </c>
      <c r="O4" t="s">
        <v>471</v>
      </c>
    </row>
    <row r="5" spans="1:15" ht="21" x14ac:dyDescent="0.35">
      <c r="A5" s="3" t="s">
        <v>238</v>
      </c>
      <c r="B5" s="3" t="s">
        <v>239</v>
      </c>
      <c r="C5" s="3" t="s">
        <v>240</v>
      </c>
      <c r="D5" s="3">
        <v>5</v>
      </c>
      <c r="E5" s="3">
        <v>10</v>
      </c>
      <c r="F5" s="3" t="s">
        <v>250</v>
      </c>
      <c r="G5" s="5" t="s">
        <v>241</v>
      </c>
      <c r="K5">
        <v>120</v>
      </c>
    </row>
    <row r="6" spans="1:15" x14ac:dyDescent="0.35">
      <c r="F6" s="5"/>
    </row>
  </sheetData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/>
  <dimension ref="A1:K3"/>
  <sheetViews>
    <sheetView workbookViewId="0">
      <selection activeCell="L23" sqref="L23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261</v>
      </c>
      <c r="C1" s="1" t="s">
        <v>1</v>
      </c>
      <c r="D1" s="1" t="s">
        <v>465</v>
      </c>
      <c r="E1" s="1" t="s">
        <v>461</v>
      </c>
      <c r="F1" s="1" t="s">
        <v>462</v>
      </c>
      <c r="G1" s="1" t="s">
        <v>463</v>
      </c>
      <c r="H1" s="1" t="s">
        <v>93</v>
      </c>
      <c r="I1" s="1" t="s">
        <v>460</v>
      </c>
      <c r="J1" s="1" t="s">
        <v>464</v>
      </c>
      <c r="K1" s="1" t="s">
        <v>11</v>
      </c>
    </row>
    <row r="2" spans="1:11" x14ac:dyDescent="0.35">
      <c r="A2" t="s">
        <v>472</v>
      </c>
      <c r="B2" t="s">
        <v>237</v>
      </c>
      <c r="C2" t="s">
        <v>473</v>
      </c>
      <c r="D2" t="s">
        <v>474</v>
      </c>
      <c r="I2" t="s">
        <v>475</v>
      </c>
      <c r="J2" t="s">
        <v>271</v>
      </c>
      <c r="K2" t="s">
        <v>476</v>
      </c>
    </row>
    <row r="3" spans="1:11" x14ac:dyDescent="0.35">
      <c r="A3" t="s">
        <v>477</v>
      </c>
      <c r="B3" t="s">
        <v>237</v>
      </c>
      <c r="C3" t="s">
        <v>478</v>
      </c>
      <c r="D3" t="s">
        <v>474</v>
      </c>
      <c r="H3" t="s">
        <v>479</v>
      </c>
      <c r="I3" t="s">
        <v>480</v>
      </c>
      <c r="J3" t="s">
        <v>271</v>
      </c>
      <c r="K3" t="s">
        <v>481</v>
      </c>
    </row>
  </sheetData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25"/>
  <sheetViews>
    <sheetView workbookViewId="0"/>
  </sheetViews>
  <sheetFormatPr defaultRowHeight="14.5" x14ac:dyDescent="0.35"/>
  <sheetData>
    <row r="1" spans="1:4" x14ac:dyDescent="0.35">
      <c r="A1" s="1" t="s">
        <v>0</v>
      </c>
      <c r="B1" s="1" t="s">
        <v>94</v>
      </c>
      <c r="C1" s="1" t="s">
        <v>95</v>
      </c>
      <c r="D1" s="1" t="s">
        <v>11</v>
      </c>
    </row>
    <row r="2" spans="1:4" x14ac:dyDescent="0.35">
      <c r="A2" t="s">
        <v>527</v>
      </c>
    </row>
    <row r="3" spans="1:4" x14ac:dyDescent="0.35">
      <c r="A3" t="s">
        <v>528</v>
      </c>
    </row>
    <row r="4" spans="1:4" x14ac:dyDescent="0.35">
      <c r="A4" t="s">
        <v>529</v>
      </c>
    </row>
    <row r="5" spans="1:4" x14ac:dyDescent="0.35">
      <c r="A5" t="s">
        <v>530</v>
      </c>
    </row>
    <row r="6" spans="1:4" x14ac:dyDescent="0.35">
      <c r="A6" t="s">
        <v>531</v>
      </c>
    </row>
    <row r="7" spans="1:4" x14ac:dyDescent="0.35">
      <c r="A7" t="s">
        <v>532</v>
      </c>
    </row>
    <row r="8" spans="1:4" x14ac:dyDescent="0.35">
      <c r="A8" t="s">
        <v>100</v>
      </c>
    </row>
    <row r="9" spans="1:4" x14ac:dyDescent="0.35">
      <c r="A9" t="s">
        <v>101</v>
      </c>
    </row>
    <row r="10" spans="1:4" x14ac:dyDescent="0.35">
      <c r="A10" t="s">
        <v>102</v>
      </c>
    </row>
    <row r="11" spans="1:4" x14ac:dyDescent="0.35">
      <c r="A11" t="s">
        <v>103</v>
      </c>
    </row>
    <row r="12" spans="1:4" x14ac:dyDescent="0.35">
      <c r="A12" t="s">
        <v>104</v>
      </c>
    </row>
    <row r="13" spans="1:4" x14ac:dyDescent="0.35">
      <c r="A13" t="s">
        <v>105</v>
      </c>
    </row>
    <row r="14" spans="1:4" x14ac:dyDescent="0.35">
      <c r="A14" t="s">
        <v>27</v>
      </c>
    </row>
    <row r="15" spans="1:4" x14ac:dyDescent="0.35">
      <c r="A15" t="s">
        <v>106</v>
      </c>
    </row>
    <row r="16" spans="1:4" x14ac:dyDescent="0.35">
      <c r="A16" t="s">
        <v>107</v>
      </c>
    </row>
    <row r="17" spans="1:1" x14ac:dyDescent="0.35">
      <c r="A17" t="s">
        <v>5</v>
      </c>
    </row>
    <row r="18" spans="1:1" x14ac:dyDescent="0.35">
      <c r="A18" t="s">
        <v>108</v>
      </c>
    </row>
    <row r="19" spans="1:1" x14ac:dyDescent="0.35">
      <c r="A19" t="s">
        <v>109</v>
      </c>
    </row>
    <row r="20" spans="1:1" x14ac:dyDescent="0.35">
      <c r="A20" t="s">
        <v>110</v>
      </c>
    </row>
    <row r="21" spans="1:1" x14ac:dyDescent="0.35">
      <c r="A21" t="s">
        <v>111</v>
      </c>
    </row>
    <row r="22" spans="1:1" x14ac:dyDescent="0.35">
      <c r="A22" t="s">
        <v>112</v>
      </c>
    </row>
    <row r="23" spans="1:1" x14ac:dyDescent="0.35">
      <c r="A23" t="s">
        <v>113</v>
      </c>
    </row>
    <row r="24" spans="1:1" x14ac:dyDescent="0.35">
      <c r="A24" t="s">
        <v>114</v>
      </c>
    </row>
    <row r="25" spans="1:1" x14ac:dyDescent="0.35">
      <c r="A25" t="s">
        <v>114</v>
      </c>
    </row>
  </sheetData>
  <autoFilter ref="A1:D1" xr:uid="{BE19C311-95B2-4117-B089-B6AFB63E8A2B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/>
  <dimension ref="A1:E5"/>
  <sheetViews>
    <sheetView topLeftCell="A2" workbookViewId="0">
      <selection activeCell="W38" sqref="W38"/>
    </sheetView>
  </sheetViews>
  <sheetFormatPr defaultRowHeight="14.5" x14ac:dyDescent="0.35"/>
  <sheetData>
    <row r="1" spans="1:5" x14ac:dyDescent="0.35">
      <c r="A1" s="1" t="s">
        <v>0</v>
      </c>
      <c r="B1" s="1" t="s">
        <v>1</v>
      </c>
      <c r="C1" s="1" t="s">
        <v>115</v>
      </c>
      <c r="D1" s="1" t="s">
        <v>116</v>
      </c>
      <c r="E1" s="1" t="s">
        <v>24</v>
      </c>
    </row>
    <row r="2" spans="1:5" x14ac:dyDescent="0.35">
      <c r="A2" t="s">
        <v>117</v>
      </c>
      <c r="B2" t="s">
        <v>118</v>
      </c>
      <c r="C2" t="s">
        <v>119</v>
      </c>
      <c r="D2">
        <v>0</v>
      </c>
      <c r="E2">
        <v>100</v>
      </c>
    </row>
    <row r="3" spans="1:5" x14ac:dyDescent="0.35">
      <c r="A3" t="s">
        <v>120</v>
      </c>
      <c r="B3" t="s">
        <v>121</v>
      </c>
      <c r="C3" t="s">
        <v>122</v>
      </c>
      <c r="D3">
        <v>2</v>
      </c>
      <c r="E3">
        <v>30</v>
      </c>
    </row>
    <row r="4" spans="1:5" x14ac:dyDescent="0.35">
      <c r="A4" t="s">
        <v>123</v>
      </c>
      <c r="B4" t="s">
        <v>124</v>
      </c>
      <c r="C4" t="s">
        <v>125</v>
      </c>
      <c r="D4">
        <v>4</v>
      </c>
      <c r="E4">
        <v>10</v>
      </c>
    </row>
    <row r="5" spans="1:5" x14ac:dyDescent="0.35">
      <c r="A5" t="s">
        <v>126</v>
      </c>
      <c r="B5" t="s">
        <v>127</v>
      </c>
      <c r="C5" t="s">
        <v>128</v>
      </c>
      <c r="D5">
        <v>-1</v>
      </c>
      <c r="E5">
        <v>1</v>
      </c>
    </row>
  </sheetData>
  <autoFilter ref="A1:E1" xr:uid="{EF655C03-3C66-40F3-8C38-E56B2C14571F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/>
  <dimension ref="A1:L2"/>
  <sheetViews>
    <sheetView workbookViewId="0">
      <selection activeCell="J45" sqref="J45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70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25</v>
      </c>
      <c r="J1" s="1" t="s">
        <v>212</v>
      </c>
      <c r="K1" s="1" t="s">
        <v>221</v>
      </c>
      <c r="L1" s="1" t="s">
        <v>222</v>
      </c>
    </row>
    <row r="2" spans="1:12" x14ac:dyDescent="0.35">
      <c r="A2" t="s">
        <v>213</v>
      </c>
      <c r="B2" t="s">
        <v>214</v>
      </c>
      <c r="C2" t="s">
        <v>215</v>
      </c>
      <c r="D2" t="s">
        <v>216</v>
      </c>
      <c r="F2" t="s">
        <v>217</v>
      </c>
      <c r="G2" t="s">
        <v>218</v>
      </c>
      <c r="H2" t="s">
        <v>219</v>
      </c>
      <c r="I2">
        <v>1</v>
      </c>
      <c r="J2" t="s">
        <v>220</v>
      </c>
      <c r="L2" t="s">
        <v>224</v>
      </c>
    </row>
  </sheetData>
  <autoFilter ref="A1:L1" xr:uid="{5FD7A8DC-0D14-45A9-83C0-74F84E359B15}"/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/>
  <dimension ref="A1:B2"/>
  <sheetViews>
    <sheetView workbookViewId="0">
      <selection activeCell="Q44" sqref="Q44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223</v>
      </c>
    </row>
    <row r="2" spans="1:2" x14ac:dyDescent="0.35">
      <c r="A2" t="s">
        <v>224</v>
      </c>
      <c r="B2" t="s">
        <v>225</v>
      </c>
    </row>
  </sheetData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/>
  <dimension ref="A1:P2"/>
  <sheetViews>
    <sheetView workbookViewId="0">
      <selection activeCell="Q16" sqref="Q16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64</v>
      </c>
      <c r="G1" s="1" t="s">
        <v>251</v>
      </c>
      <c r="H1" s="1" t="s">
        <v>65</v>
      </c>
      <c r="I1" s="1" t="s">
        <v>252</v>
      </c>
      <c r="J1" s="1" t="s">
        <v>253</v>
      </c>
      <c r="K1" s="1" t="s">
        <v>254</v>
      </c>
      <c r="L1" s="1" t="s">
        <v>31</v>
      </c>
      <c r="M1" s="1" t="s">
        <v>66</v>
      </c>
      <c r="N1" s="1" t="s">
        <v>67</v>
      </c>
      <c r="O1" s="1" t="s">
        <v>255</v>
      </c>
      <c r="P1" s="1" t="s">
        <v>256</v>
      </c>
    </row>
    <row r="2" spans="1:16" x14ac:dyDescent="0.35">
      <c r="A2" t="s">
        <v>267</v>
      </c>
      <c r="B2" t="s">
        <v>268</v>
      </c>
      <c r="C2" t="s">
        <v>269</v>
      </c>
      <c r="D2" t="s">
        <v>270</v>
      </c>
      <c r="E2">
        <v>1</v>
      </c>
      <c r="F2" t="s">
        <v>213</v>
      </c>
      <c r="G2" t="s">
        <v>213</v>
      </c>
      <c r="J2" t="s">
        <v>271</v>
      </c>
      <c r="K2" t="s">
        <v>272</v>
      </c>
      <c r="L2">
        <v>250</v>
      </c>
      <c r="M2">
        <v>100</v>
      </c>
      <c r="P2" t="s">
        <v>273</v>
      </c>
    </row>
  </sheetData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/>
  <dimension ref="A1:G3"/>
  <sheetViews>
    <sheetView workbookViewId="0">
      <selection activeCell="Z42" sqref="Z42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257</v>
      </c>
      <c r="B1" s="1" t="s">
        <v>258</v>
      </c>
      <c r="C1" s="1" t="s">
        <v>12</v>
      </c>
      <c r="D1" s="1" t="s">
        <v>259</v>
      </c>
      <c r="E1" s="1" t="s">
        <v>68</v>
      </c>
      <c r="F1" s="1" t="s">
        <v>11</v>
      </c>
      <c r="G1" s="1" t="s">
        <v>69</v>
      </c>
    </row>
    <row r="2" spans="1:7" x14ac:dyDescent="0.35">
      <c r="A2" s="7" t="s">
        <v>267</v>
      </c>
      <c r="B2" s="7" t="s">
        <v>273</v>
      </c>
      <c r="C2" s="7" t="s">
        <v>274</v>
      </c>
      <c r="D2" s="7" t="s">
        <v>209</v>
      </c>
      <c r="E2" s="7">
        <v>3</v>
      </c>
      <c r="F2" s="7" t="s">
        <v>308</v>
      </c>
      <c r="G2" s="7" t="s">
        <v>272</v>
      </c>
    </row>
    <row r="3" spans="1:7" x14ac:dyDescent="0.35">
      <c r="A3" s="7" t="s">
        <v>267</v>
      </c>
      <c r="B3" s="7" t="s">
        <v>275</v>
      </c>
      <c r="C3" s="7" t="s">
        <v>276</v>
      </c>
      <c r="D3" s="7" t="s">
        <v>247</v>
      </c>
      <c r="E3" s="7">
        <v>1</v>
      </c>
      <c r="F3" s="7" t="s">
        <v>277</v>
      </c>
      <c r="G3" s="7" t="s">
        <v>272</v>
      </c>
    </row>
  </sheetData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/>
  <dimension ref="A1:N1"/>
  <sheetViews>
    <sheetView workbookViewId="0"/>
  </sheetViews>
  <sheetFormatPr defaultRowHeight="14.5" x14ac:dyDescent="0.35"/>
  <sheetData>
    <row r="1" spans="1:14" x14ac:dyDescent="0.35">
      <c r="A1" s="1" t="s">
        <v>0</v>
      </c>
      <c r="B1" s="1" t="s">
        <v>1</v>
      </c>
      <c r="C1" s="1" t="s">
        <v>260</v>
      </c>
      <c r="D1" s="1" t="s">
        <v>53</v>
      </c>
      <c r="E1" s="1" t="s">
        <v>261</v>
      </c>
      <c r="F1" s="1" t="s">
        <v>262</v>
      </c>
      <c r="G1" s="1" t="s">
        <v>263</v>
      </c>
      <c r="H1" s="1" t="s">
        <v>264</v>
      </c>
      <c r="I1" s="1" t="s">
        <v>32</v>
      </c>
      <c r="J1" s="1" t="s">
        <v>265</v>
      </c>
      <c r="K1" s="1" t="s">
        <v>266</v>
      </c>
      <c r="L1" s="1" t="s">
        <v>92</v>
      </c>
      <c r="M1" s="1" t="s">
        <v>257</v>
      </c>
      <c r="N1" s="1" t="s">
        <v>11</v>
      </c>
    </row>
  </sheetData>
  <dataValidations count="5">
    <dataValidation type="list" errorStyle="warning" allowBlank="1" showInputMessage="1" showErrorMessage="1" errorTitle="Invalid ID" error="Please select a valid ID from the dropdown list." sqref="E2:E200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200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200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200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200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/>
  <dimension ref="A1:P5"/>
  <sheetViews>
    <sheetView workbookViewId="0">
      <selection activeCell="J25" sqref="J25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8" customWidth="1"/>
    <col min="6" max="6" width="7.26953125" customWidth="1"/>
    <col min="7" max="7" width="8.453125" customWidth="1"/>
    <col min="8" max="8" width="11.1796875" customWidth="1"/>
    <col min="9" max="9" width="10.54296875" customWidth="1"/>
    <col min="10" max="10" width="9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278</v>
      </c>
      <c r="E1" s="1" t="s">
        <v>25</v>
      </c>
      <c r="F1" s="1" t="s">
        <v>54</v>
      </c>
      <c r="G1" s="1" t="s">
        <v>279</v>
      </c>
      <c r="H1" s="1" t="s">
        <v>262</v>
      </c>
      <c r="I1" s="1" t="s">
        <v>280</v>
      </c>
      <c r="J1" s="1" t="s">
        <v>281</v>
      </c>
      <c r="K1" s="1" t="s">
        <v>282</v>
      </c>
      <c r="L1" s="1" t="s">
        <v>283</v>
      </c>
      <c r="M1" s="1" t="s">
        <v>284</v>
      </c>
      <c r="N1" s="1" t="s">
        <v>285</v>
      </c>
      <c r="O1" s="1" t="s">
        <v>286</v>
      </c>
      <c r="P1" s="1" t="s">
        <v>287</v>
      </c>
    </row>
    <row r="2" spans="1:16" x14ac:dyDescent="0.35">
      <c r="A2" t="s">
        <v>288</v>
      </c>
      <c r="B2" t="s">
        <v>289</v>
      </c>
      <c r="C2" t="s">
        <v>290</v>
      </c>
      <c r="D2" t="s">
        <v>291</v>
      </c>
      <c r="E2">
        <v>1</v>
      </c>
      <c r="F2">
        <v>3</v>
      </c>
      <c r="G2">
        <v>60</v>
      </c>
      <c r="H2">
        <v>1</v>
      </c>
      <c r="I2">
        <v>1</v>
      </c>
      <c r="J2">
        <v>0</v>
      </c>
      <c r="K2">
        <v>20</v>
      </c>
      <c r="L2" t="s">
        <v>292</v>
      </c>
    </row>
    <row r="3" spans="1:16" x14ac:dyDescent="0.35">
      <c r="A3" t="s">
        <v>293</v>
      </c>
      <c r="B3" t="s">
        <v>294</v>
      </c>
      <c r="C3" t="s">
        <v>295</v>
      </c>
      <c r="D3" t="s">
        <v>296</v>
      </c>
      <c r="E3">
        <v>3</v>
      </c>
      <c r="F3">
        <v>6</v>
      </c>
      <c r="G3">
        <v>60</v>
      </c>
      <c r="H3" t="s">
        <v>147</v>
      </c>
      <c r="I3">
        <v>2</v>
      </c>
      <c r="J3">
        <v>1</v>
      </c>
      <c r="K3">
        <v>30</v>
      </c>
      <c r="L3" t="s">
        <v>297</v>
      </c>
    </row>
    <row r="4" spans="1:16" x14ac:dyDescent="0.35">
      <c r="A4" t="s">
        <v>298</v>
      </c>
      <c r="B4" t="s">
        <v>299</v>
      </c>
      <c r="C4" t="s">
        <v>300</v>
      </c>
      <c r="D4" t="s">
        <v>430</v>
      </c>
      <c r="E4">
        <v>5</v>
      </c>
      <c r="F4">
        <v>10</v>
      </c>
      <c r="G4">
        <v>90</v>
      </c>
      <c r="H4">
        <v>1</v>
      </c>
      <c r="I4">
        <v>2</v>
      </c>
      <c r="J4">
        <v>1</v>
      </c>
      <c r="K4">
        <v>25</v>
      </c>
      <c r="L4" t="s">
        <v>301</v>
      </c>
    </row>
    <row r="5" spans="1:16" x14ac:dyDescent="0.35">
      <c r="A5" t="s">
        <v>302</v>
      </c>
      <c r="B5" t="s">
        <v>303</v>
      </c>
      <c r="C5" t="s">
        <v>304</v>
      </c>
      <c r="D5" t="s">
        <v>305</v>
      </c>
      <c r="E5">
        <v>8</v>
      </c>
      <c r="F5">
        <v>10</v>
      </c>
      <c r="G5">
        <v>0</v>
      </c>
      <c r="H5">
        <v>1</v>
      </c>
      <c r="I5">
        <v>1</v>
      </c>
      <c r="J5">
        <v>0</v>
      </c>
      <c r="K5">
        <v>0</v>
      </c>
      <c r="L5" t="s">
        <v>306</v>
      </c>
      <c r="O5" t="s">
        <v>307</v>
      </c>
    </row>
  </sheetData>
  <autoFilter ref="A1:P1" xr:uid="{728D9069-DCF7-4E90-907A-FF5E9CB90AC5}"/>
  <dataValidations count="1">
    <dataValidation type="list" errorStyle="warning" allowBlank="1" showInputMessage="1" showErrorMessage="1" errorTitle="Invalid ID" error="Please select a valid ID from the dropdown list." sqref="M2:P105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/>
  <dimension ref="A1:F2"/>
  <sheetViews>
    <sheetView workbookViewId="0">
      <selection activeCell="T24" sqref="T24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441</v>
      </c>
      <c r="D1" s="1" t="s">
        <v>442</v>
      </c>
      <c r="E1" s="1" t="s">
        <v>443</v>
      </c>
      <c r="F1" s="1" t="s">
        <v>444</v>
      </c>
    </row>
    <row r="2" spans="1:6" x14ac:dyDescent="0.35">
      <c r="A2" t="s">
        <v>448</v>
      </c>
      <c r="B2" t="s">
        <v>445</v>
      </c>
      <c r="C2" t="s">
        <v>446</v>
      </c>
      <c r="D2" t="s">
        <v>238</v>
      </c>
      <c r="E2" t="s">
        <v>271</v>
      </c>
      <c r="F2" t="s">
        <v>447</v>
      </c>
    </row>
  </sheetData>
  <autoFilter ref="A1:F1" xr:uid="{80CDBCB1-2E38-4918-B701-E5E44D53A36D}"/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61471129-8077-4659-A307-99676593F5AA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B1DAD8A8-4E76-4696-A2FE-731C9AC6558E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/>
  <dimension ref="A1:K9"/>
  <sheetViews>
    <sheetView workbookViewId="0">
      <selection activeCell="Z22" sqref="Z22"/>
    </sheetView>
  </sheetViews>
  <sheetFormatPr defaultRowHeight="14.5" x14ac:dyDescent="0.35"/>
  <sheetData>
    <row r="1" spans="1:11" x14ac:dyDescent="0.35">
      <c r="A1" s="1" t="s">
        <v>0</v>
      </c>
      <c r="B1" s="1" t="s">
        <v>449</v>
      </c>
      <c r="C1" s="1" t="s">
        <v>450</v>
      </c>
      <c r="D1" s="1" t="s">
        <v>451</v>
      </c>
      <c r="E1" s="1" t="s">
        <v>452</v>
      </c>
      <c r="F1" s="1" t="s">
        <v>453</v>
      </c>
      <c r="G1" s="1" t="s">
        <v>319</v>
      </c>
      <c r="H1" s="1" t="s">
        <v>454</v>
      </c>
      <c r="I1" s="1" t="s">
        <v>35</v>
      </c>
      <c r="J1" s="1" t="s">
        <v>61</v>
      </c>
      <c r="K1" s="1" t="s">
        <v>455</v>
      </c>
    </row>
    <row r="2" spans="1:11" x14ac:dyDescent="0.35">
      <c r="A2" t="s">
        <v>456</v>
      </c>
      <c r="B2" t="s">
        <v>446</v>
      </c>
      <c r="C2" t="s">
        <v>459</v>
      </c>
      <c r="D2" t="s">
        <v>457</v>
      </c>
      <c r="F2" t="s">
        <v>133</v>
      </c>
      <c r="G2">
        <v>5</v>
      </c>
      <c r="H2" t="s">
        <v>458</v>
      </c>
      <c r="I2">
        <v>120</v>
      </c>
      <c r="J2">
        <v>3</v>
      </c>
      <c r="K2">
        <v>1</v>
      </c>
    </row>
    <row r="3" spans="1:11" x14ac:dyDescent="0.35">
      <c r="A3" t="s">
        <v>482</v>
      </c>
      <c r="B3" t="s">
        <v>483</v>
      </c>
      <c r="C3" t="s">
        <v>484</v>
      </c>
      <c r="D3" t="s">
        <v>485</v>
      </c>
      <c r="F3" t="s">
        <v>356</v>
      </c>
      <c r="G3">
        <v>5</v>
      </c>
      <c r="H3" t="s">
        <v>486</v>
      </c>
      <c r="I3">
        <v>120</v>
      </c>
      <c r="J3">
        <v>4</v>
      </c>
      <c r="K3">
        <v>1</v>
      </c>
    </row>
    <row r="4" spans="1:11" x14ac:dyDescent="0.35">
      <c r="A4" t="s">
        <v>487</v>
      </c>
      <c r="B4" t="s">
        <v>483</v>
      </c>
      <c r="C4" t="s">
        <v>484</v>
      </c>
      <c r="D4" t="s">
        <v>498</v>
      </c>
      <c r="F4" t="s">
        <v>356</v>
      </c>
      <c r="G4">
        <v>5</v>
      </c>
      <c r="H4" t="s">
        <v>486</v>
      </c>
      <c r="I4">
        <v>120</v>
      </c>
      <c r="J4">
        <v>4</v>
      </c>
      <c r="K4">
        <v>1</v>
      </c>
    </row>
    <row r="5" spans="1:11" x14ac:dyDescent="0.35">
      <c r="A5" t="s">
        <v>488</v>
      </c>
      <c r="B5" t="s">
        <v>483</v>
      </c>
      <c r="C5" t="s">
        <v>484</v>
      </c>
      <c r="D5" t="s">
        <v>489</v>
      </c>
      <c r="F5" t="s">
        <v>356</v>
      </c>
      <c r="G5">
        <v>5</v>
      </c>
      <c r="H5" t="s">
        <v>486</v>
      </c>
      <c r="I5">
        <v>120</v>
      </c>
      <c r="J5">
        <v>4</v>
      </c>
      <c r="K5">
        <v>1</v>
      </c>
    </row>
    <row r="6" spans="1:11" x14ac:dyDescent="0.35">
      <c r="A6" t="s">
        <v>490</v>
      </c>
      <c r="B6" t="s">
        <v>483</v>
      </c>
      <c r="C6" t="s">
        <v>491</v>
      </c>
      <c r="D6" t="s">
        <v>492</v>
      </c>
      <c r="F6" t="s">
        <v>356</v>
      </c>
      <c r="G6">
        <v>5</v>
      </c>
      <c r="H6" t="s">
        <v>486</v>
      </c>
      <c r="I6">
        <v>120</v>
      </c>
      <c r="J6">
        <v>4</v>
      </c>
      <c r="K6">
        <v>1</v>
      </c>
    </row>
    <row r="7" spans="1:11" x14ac:dyDescent="0.35">
      <c r="A7" t="s">
        <v>493</v>
      </c>
      <c r="B7" t="s">
        <v>483</v>
      </c>
      <c r="C7" t="s">
        <v>491</v>
      </c>
      <c r="D7" t="s">
        <v>499</v>
      </c>
      <c r="F7" t="s">
        <v>356</v>
      </c>
      <c r="G7">
        <v>5</v>
      </c>
      <c r="H7" t="s">
        <v>486</v>
      </c>
      <c r="I7">
        <v>120</v>
      </c>
      <c r="J7">
        <v>4</v>
      </c>
      <c r="K7">
        <v>1</v>
      </c>
    </row>
    <row r="8" spans="1:11" x14ac:dyDescent="0.35">
      <c r="A8" t="s">
        <v>494</v>
      </c>
      <c r="B8" t="s">
        <v>483</v>
      </c>
      <c r="C8" t="s">
        <v>491</v>
      </c>
      <c r="D8" t="s">
        <v>495</v>
      </c>
      <c r="F8" t="s">
        <v>356</v>
      </c>
      <c r="G8">
        <v>5</v>
      </c>
      <c r="H8" t="s">
        <v>486</v>
      </c>
      <c r="I8">
        <v>120</v>
      </c>
      <c r="J8">
        <v>4</v>
      </c>
      <c r="K8">
        <v>1</v>
      </c>
    </row>
    <row r="9" spans="1:11" x14ac:dyDescent="0.35">
      <c r="A9" t="s">
        <v>496</v>
      </c>
      <c r="B9" t="s">
        <v>483</v>
      </c>
      <c r="C9" t="s">
        <v>491</v>
      </c>
      <c r="D9" t="s">
        <v>497</v>
      </c>
      <c r="F9" t="s">
        <v>356</v>
      </c>
      <c r="G9">
        <v>5</v>
      </c>
      <c r="H9" t="s">
        <v>486</v>
      </c>
      <c r="I9">
        <v>120</v>
      </c>
      <c r="J9">
        <v>4</v>
      </c>
      <c r="K9">
        <v>1</v>
      </c>
    </row>
  </sheetData>
  <autoFilter ref="A1:K1" xr:uid="{17951E23-4402-4484-89D1-96CE441D82A4}"/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/>
  <dimension ref="A1:I1"/>
  <sheetViews>
    <sheetView workbookViewId="0">
      <selection activeCell="T30" sqref="T30"/>
    </sheetView>
  </sheetViews>
  <sheetFormatPr defaultRowHeight="14.5" x14ac:dyDescent="0.35"/>
  <sheetData>
    <row r="1" spans="1:9" x14ac:dyDescent="0.35">
      <c r="A1" s="1" t="s">
        <v>0</v>
      </c>
      <c r="B1" s="1" t="s">
        <v>449</v>
      </c>
      <c r="C1" s="1" t="s">
        <v>450</v>
      </c>
      <c r="D1" s="1" t="s">
        <v>500</v>
      </c>
      <c r="E1" s="1" t="s">
        <v>501</v>
      </c>
      <c r="F1" s="1" t="s">
        <v>502</v>
      </c>
      <c r="G1" s="1" t="s">
        <v>61</v>
      </c>
      <c r="H1" s="1" t="s">
        <v>319</v>
      </c>
      <c r="I1" s="1" t="s">
        <v>503</v>
      </c>
    </row>
  </sheetData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/>
  <dimension ref="A1:D4"/>
  <sheetViews>
    <sheetView workbookViewId="0">
      <selection activeCell="A2" sqref="A2:D4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63</v>
      </c>
    </row>
    <row r="2" spans="1:4" x14ac:dyDescent="0.35">
      <c r="A2" t="s">
        <v>510</v>
      </c>
      <c r="B2" t="s">
        <v>511</v>
      </c>
      <c r="C2" t="s">
        <v>512</v>
      </c>
      <c r="D2" t="s">
        <v>510</v>
      </c>
    </row>
    <row r="3" spans="1:4" x14ac:dyDescent="0.35">
      <c r="A3" t="s">
        <v>513</v>
      </c>
      <c r="B3" t="s">
        <v>514</v>
      </c>
      <c r="C3" t="s">
        <v>515</v>
      </c>
      <c r="D3" t="s">
        <v>513</v>
      </c>
    </row>
    <row r="4" spans="1:4" x14ac:dyDescent="0.35">
      <c r="A4" t="s">
        <v>516</v>
      </c>
      <c r="B4" t="s">
        <v>517</v>
      </c>
      <c r="C4" t="s">
        <v>518</v>
      </c>
      <c r="D4" t="s">
        <v>516</v>
      </c>
    </row>
  </sheetData>
  <autoFilter ref="A1:D1" xr:uid="{6B0AC56D-5B78-4514-85E2-3E09D0A0BDA0}"/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/>
  <dimension ref="A1:AH3"/>
  <sheetViews>
    <sheetView tabSelected="1" topLeftCell="M1" workbookViewId="0">
      <selection activeCell="AJ14" sqref="AJ14"/>
    </sheetView>
  </sheetViews>
  <sheetFormatPr defaultRowHeight="14.5" x14ac:dyDescent="0.35"/>
  <cols>
    <col min="1" max="31" width="11.90625" customWidth="1"/>
    <col min="34" max="34" width="10.6328125" customWidth="1"/>
  </cols>
  <sheetData>
    <row r="1" spans="1:34" x14ac:dyDescent="0.35">
      <c r="A1" s="1" t="s">
        <v>0</v>
      </c>
      <c r="B1" s="1" t="s">
        <v>1</v>
      </c>
      <c r="C1" s="1" t="s">
        <v>52</v>
      </c>
      <c r="D1" s="1" t="s">
        <v>504</v>
      </c>
      <c r="E1" s="1" t="s">
        <v>505</v>
      </c>
      <c r="F1" s="1" t="s">
        <v>506</v>
      </c>
      <c r="G1" s="1" t="s">
        <v>12</v>
      </c>
      <c r="H1" s="1" t="s">
        <v>523</v>
      </c>
      <c r="I1" s="1" t="s">
        <v>533</v>
      </c>
      <c r="J1" s="1" t="s">
        <v>524</v>
      </c>
      <c r="K1" s="1" t="s">
        <v>525</v>
      </c>
      <c r="L1" s="1" t="s">
        <v>34</v>
      </c>
      <c r="M1" s="1" t="s">
        <v>534</v>
      </c>
      <c r="N1" s="1" t="s">
        <v>535</v>
      </c>
      <c r="O1" s="1" t="s">
        <v>536</v>
      </c>
      <c r="P1" s="1" t="s">
        <v>537</v>
      </c>
      <c r="Q1" s="1" t="s">
        <v>62</v>
      </c>
      <c r="R1" s="1" t="s">
        <v>55</v>
      </c>
      <c r="S1" s="1" t="s">
        <v>56</v>
      </c>
      <c r="T1" s="1" t="s">
        <v>35</v>
      </c>
      <c r="U1" s="1" t="s">
        <v>4</v>
      </c>
      <c r="V1" s="1" t="s">
        <v>526</v>
      </c>
      <c r="W1" s="1" t="s">
        <v>58</v>
      </c>
      <c r="X1" s="1" t="s">
        <v>59</v>
      </c>
      <c r="Y1" s="1" t="s">
        <v>507</v>
      </c>
      <c r="Z1" s="1" t="s">
        <v>61</v>
      </c>
      <c r="AA1" s="1" t="s">
        <v>508</v>
      </c>
      <c r="AB1" s="1" t="s">
        <v>11</v>
      </c>
      <c r="AC1" s="1" t="s">
        <v>509</v>
      </c>
      <c r="AD1" s="1" t="s">
        <v>63</v>
      </c>
      <c r="AE1" s="1" t="s">
        <v>543</v>
      </c>
      <c r="AF1" s="1" t="s">
        <v>549</v>
      </c>
      <c r="AG1" s="1" t="s">
        <v>550</v>
      </c>
      <c r="AH1" s="1" t="s">
        <v>551</v>
      </c>
    </row>
    <row r="2" spans="1:34" x14ac:dyDescent="0.35">
      <c r="A2" t="s">
        <v>538</v>
      </c>
      <c r="B2" t="s">
        <v>539</v>
      </c>
      <c r="D2">
        <v>1</v>
      </c>
      <c r="E2">
        <v>1</v>
      </c>
      <c r="F2">
        <v>1</v>
      </c>
      <c r="G2" t="s">
        <v>519</v>
      </c>
      <c r="H2" t="s">
        <v>349</v>
      </c>
      <c r="I2" t="s">
        <v>271</v>
      </c>
      <c r="J2">
        <v>100</v>
      </c>
      <c r="K2">
        <v>0</v>
      </c>
      <c r="L2" t="s">
        <v>350</v>
      </c>
      <c r="M2">
        <v>40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520</v>
      </c>
      <c r="X2">
        <v>0</v>
      </c>
      <c r="Y2">
        <v>0</v>
      </c>
      <c r="Z2">
        <v>0</v>
      </c>
      <c r="AB2" t="s">
        <v>540</v>
      </c>
      <c r="AC2" t="s">
        <v>541</v>
      </c>
      <c r="AD2" t="s">
        <v>538</v>
      </c>
      <c r="AE2" t="s">
        <v>349</v>
      </c>
    </row>
    <row r="3" spans="1:34" x14ac:dyDescent="0.35">
      <c r="A3" t="s">
        <v>545</v>
      </c>
      <c r="B3" t="s">
        <v>546</v>
      </c>
      <c r="D3">
        <v>1</v>
      </c>
      <c r="E3">
        <v>2</v>
      </c>
      <c r="F3">
        <v>1</v>
      </c>
      <c r="G3" t="s">
        <v>519</v>
      </c>
      <c r="H3" t="s">
        <v>421</v>
      </c>
      <c r="I3" t="s">
        <v>220</v>
      </c>
      <c r="J3">
        <v>100</v>
      </c>
      <c r="K3">
        <v>0</v>
      </c>
      <c r="L3" t="s">
        <v>350</v>
      </c>
      <c r="M3">
        <v>0</v>
      </c>
      <c r="N3" t="s">
        <v>353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394</v>
      </c>
      <c r="X3">
        <v>0</v>
      </c>
      <c r="Y3">
        <v>0</v>
      </c>
      <c r="Z3">
        <v>0</v>
      </c>
      <c r="AB3" t="s">
        <v>547</v>
      </c>
      <c r="AC3" t="s">
        <v>548</v>
      </c>
      <c r="AD3" t="s">
        <v>545</v>
      </c>
      <c r="AE3" t="s">
        <v>421</v>
      </c>
      <c r="AF3" t="s">
        <v>356</v>
      </c>
      <c r="AG3">
        <v>30</v>
      </c>
      <c r="AH3">
        <v>30</v>
      </c>
    </row>
  </sheetData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27</vt:i4>
      </vt:variant>
      <vt:variant>
        <vt:lpstr>Pojmenované oblasti</vt:lpstr>
      </vt:variant>
      <vt:variant>
        <vt:i4>20</vt:i4>
      </vt:variant>
    </vt:vector>
  </HeadingPairs>
  <TitlesOfParts>
    <vt:vector size="47" baseType="lpstr">
      <vt:lpstr>ItemBases</vt:lpstr>
      <vt:lpstr>Affixes</vt:lpstr>
      <vt:lpstr>UniqueItems</vt:lpstr>
      <vt:lpstr>Enemies</vt:lpstr>
      <vt:lpstr>BehaviorProfiles</vt:lpstr>
      <vt:lpstr>EnemyAbilities</vt:lpstr>
      <vt:lpstr>EnemyVariants</vt:lpstr>
      <vt:lpstr>LootTables</vt:lpstr>
      <vt:lpstr>Skills</vt:lpstr>
      <vt:lpstr>ShopInventory</vt:lpstr>
      <vt:lpstr>Consumables</vt:lpstr>
      <vt:lpstr>StatusEffects</vt:lpstr>
      <vt:lpstr>Zones</vt:lpstr>
      <vt:lpstr>Locations</vt:lpstr>
      <vt:lpstr>StatModifiers</vt:lpstr>
      <vt:lpstr>Rarities</vt:lpstr>
      <vt:lpstr>NPCs</vt:lpstr>
      <vt:lpstr>Dialogues</vt:lpstr>
      <vt:lpstr>Quests</vt:lpstr>
      <vt:lpstr>QuestObjectives</vt:lpstr>
      <vt:lpstr>Chests</vt:lpstr>
      <vt:lpstr>SpawnPoints</vt:lpstr>
      <vt:lpstr>Cutscenes</vt:lpstr>
      <vt:lpstr>FloatingDialogues</vt:lpstr>
      <vt:lpstr>PopupMessages</vt:lpstr>
      <vt:lpstr>TalentTrees</vt:lpstr>
      <vt:lpstr>Talents</vt:lpstr>
      <vt:lpstr>ID_Affixes</vt:lpstr>
      <vt:lpstr>ID_BehaviorProfiles</vt:lpstr>
      <vt:lpstr>ID_Consumables</vt:lpstr>
      <vt:lpstr>ID_Cutscenes</vt:lpstr>
      <vt:lpstr>ID_Dialogues</vt:lpstr>
      <vt:lpstr>ID_Enemies</vt:lpstr>
      <vt:lpstr>ID_EnemyAbilities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ID_Skills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2026-01-02T10:30:50Z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